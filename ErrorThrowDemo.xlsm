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.Perfetto\Downloads\"/>
    </mc:Choice>
  </mc:AlternateContent>
  <bookViews>
    <workbookView xWindow="0" yWindow="0" windowWidth="26083" windowHeight="9333" activeTab="5" xr2:uid="{00000000-000D-0000-FFFF-FFFF00000000}"/>
  </bookViews>
  <sheets>
    <sheet name="Sheet1" sheetId="1" r:id="rId1"/>
    <sheet name="Faculity" sheetId="2" r:id="rId2"/>
    <sheet name="Courses" sheetId="3" r:id="rId3"/>
    <sheet name="Sheet2" sheetId="5" r:id="rId4"/>
    <sheet name="Sheet4" sheetId="7" r:id="rId5"/>
    <sheet name="MasterSheet" sheetId="6" r:id="rId6"/>
  </sheets>
  <functionGroups builtInGroupCount="19"/>
  <externalReferences>
    <externalReference r:id="rId7"/>
  </externalReferences>
  <definedNames>
    <definedName name="CourseList">MasterSheet!$J$2:$J$19</definedName>
    <definedName name="Days">MasterSheet!$K$2:$K$9</definedName>
    <definedName name="InputRange" localSheetId="0">OFFSET(Sheet1!$A$2,0,0,COUNTA(Sheet1!$A:$A)-1,1)</definedName>
    <definedName name="Name">MasterSheet!$I$2:$I$33</definedName>
    <definedName name="ProfessorClass">MasterSheet!$P$26:$P$89</definedName>
    <definedName name="ProfFullTime">MasterSheet!$F$2,MasterSheet!$F$6,MasterSheet!$F$7,MasterSheet!$F$11,MasterSheet!$F$13,MasterSheet!$F$15,MasterSheet!$F$16,MasterSheet!$F$17,MasterSheet!$F$18,MasterSheet!$F$21,MasterSheet!$F$22,MasterSheet!$F$26,MasterSheet!$F$29,MasterSheet!$F$31,MasterSheet!$F$32,MasterSheet!$F$33</definedName>
    <definedName name="ProfFullTimeUsed">MasterSheet!$H$2,MasterSheet!$H$6,MasterSheet!$H$7,MasterSheet!$H$11,MasterSheet!$H$13,MasterSheet!$H$15,MasterSheet!$H$16,MasterSheet!$H$17,MasterSheet!$H$18,MasterSheet!$H$21,MasterSheet!$H$22,MasterSheet!$H$26,MasterSheet!$H$29,MasterSheet!$H$31,MasterSheet!$H$32,MasterSheet!$H$33</definedName>
    <definedName name="ProfPartTime">MasterSheet!$F$30,MasterSheet!$F$28,MasterSheet!$F$27,MasterSheet!$F$25,MasterSheet!$F$24,MasterSheet!$F$23,MasterSheet!$F$20,MasterSheet!$F$19,MasterSheet!$F$14,MasterSheet!$F$12,MasterSheet!$F$10,MasterSheet!$F$9,MasterSheet!$F$8,MasterSheet!$F$5,MasterSheet!$F$4,MasterSheet!$F$3</definedName>
    <definedName name="ProfPartTimeUsed">MasterSheet!$H$30,MasterSheet!$H$28,MasterSheet!$H$27,MasterSheet!$H$25,MasterSheet!$H$24,MasterSheet!$H$23,MasterSheet!$H$20,MasterSheet!$H$19,MasterSheet!$H$14,MasterSheet!$H$10,MasterSheet!$H$9,MasterSheet!$H$8,MasterSheet!$H$5,MasterSheet!$H$4,MasterSheet!$H$3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[1]Sheet1!$T$13</definedName>
    <definedName name="solver_typ" localSheetId="5" hidden="1">2</definedName>
    <definedName name="solver_val" localSheetId="5" hidden="1">0</definedName>
    <definedName name="solver_ver" localSheetId="5" hidden="1">3</definedName>
    <definedName name="Times">MasterSheet!$L$2:$L$11</definedName>
    <definedName name="Z_9692233C_0F2E_654E_8AC6_8C4CF1DC23E8_.wvu.Cols" localSheetId="5" hidden="1">MasterSheet!$C:$M,MasterSheet!$T:$AE</definedName>
    <definedName name="Z_9692233C_0F2E_654E_8AC6_8C4CF1DC23E8_.wvu.Rows" localSheetId="5" hidden="1">MasterSheet!$1:$19</definedName>
  </definedNames>
  <calcPr calcId="171027"/>
  <customWorkbookViews>
    <customWorkbookView name="Interface View" guid="{9692233C-0F2E-654E-8AC6-8C4CF1DC23E8}" yWindow="23" windowWidth="1426" windowHeight="811" activeSheetId="6"/>
    <customWorkbookView name="Master View" guid="{F88BE81C-8BBC-CE40-9183-746E883A9C1B}" yWindow="23" windowWidth="1325" windowHeight="715" activeSheetId="6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6" l="1"/>
  <c r="W3" i="6"/>
  <c r="V3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41" i="6"/>
  <c r="AA42" i="6"/>
  <c r="AA43" i="6"/>
  <c r="AA44" i="6"/>
  <c r="AA45" i="6"/>
  <c r="AA46" i="6"/>
  <c r="AA47" i="6"/>
  <c r="AA48" i="6"/>
  <c r="AA49" i="6"/>
  <c r="AA50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26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27" i="6"/>
  <c r="Z28" i="6"/>
  <c r="Z29" i="6"/>
  <c r="Z30" i="6"/>
  <c r="Z31" i="6"/>
  <c r="Z32" i="6"/>
  <c r="Z33" i="6"/>
  <c r="Z34" i="6"/>
  <c r="Z26" i="6"/>
  <c r="X2" i="6" l="1"/>
  <c r="G17" i="6" l="1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" i="6"/>
  <c r="H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2" i="6"/>
  <c r="H2" i="6" s="1"/>
  <c r="Y3" i="6" l="1"/>
  <c r="H10" i="6"/>
  <c r="L18" i="6"/>
  <c r="T3" i="6"/>
  <c r="I18" i="2"/>
  <c r="Z3" i="6" l="1"/>
  <c r="AA3" i="6"/>
  <c r="F19" i="5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2" i="1"/>
  <c r="M5" i="2" l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H17" i="1"/>
  <c r="I17" i="1"/>
  <c r="H18" i="1"/>
  <c r="G18" i="1"/>
  <c r="G17" i="1"/>
  <c r="I18" i="1"/>
  <c r="C30" i="1" l="1"/>
  <c r="C26" i="1"/>
  <c r="C18" i="1"/>
  <c r="C6" i="1"/>
  <c r="C29" i="1"/>
  <c r="C32" i="1"/>
  <c r="C28" i="1"/>
  <c r="C24" i="1"/>
  <c r="C20" i="1"/>
  <c r="C16" i="1"/>
  <c r="C12" i="1"/>
  <c r="C8" i="1"/>
  <c r="C4" i="1"/>
  <c r="C22" i="1"/>
  <c r="C14" i="1"/>
  <c r="C10" i="1"/>
  <c r="C33" i="1"/>
  <c r="C31" i="1"/>
  <c r="C27" i="1"/>
  <c r="C23" i="1"/>
  <c r="C19" i="1"/>
  <c r="C15" i="1"/>
  <c r="C11" i="1"/>
  <c r="C7" i="1"/>
  <c r="C3" i="1"/>
  <c r="C25" i="1"/>
  <c r="C21" i="1"/>
  <c r="C17" i="1"/>
  <c r="C13" i="1"/>
  <c r="C9" i="1"/>
  <c r="C5" i="1"/>
  <c r="C2" i="1"/>
  <c r="I5" i="1" l="1"/>
</calcChain>
</file>

<file path=xl/sharedStrings.xml><?xml version="1.0" encoding="utf-8"?>
<sst xmlns="http://schemas.openxmlformats.org/spreadsheetml/2006/main" count="972" uniqueCount="237">
  <si>
    <t>pink</t>
  </si>
  <si>
    <t>blue</t>
  </si>
  <si>
    <t>green</t>
  </si>
  <si>
    <t>red</t>
  </si>
  <si>
    <t>Number in column C</t>
  </si>
  <si>
    <t>Classes</t>
  </si>
  <si>
    <t>8 to 9</t>
  </si>
  <si>
    <t>9 to 10</t>
  </si>
  <si>
    <t>10 to 11</t>
  </si>
  <si>
    <t>parameter</t>
  </si>
  <si>
    <t>used</t>
  </si>
  <si>
    <t>Monday</t>
  </si>
  <si>
    <t>Tuesday</t>
  </si>
  <si>
    <t>Wednesday</t>
  </si>
  <si>
    <t>Thursday</t>
  </si>
  <si>
    <t>05:00PM - 07:20PM</t>
  </si>
  <si>
    <t>07:30PM - 09:50PM</t>
  </si>
  <si>
    <t>CIS Faculty</t>
  </si>
  <si>
    <t>Name</t>
  </si>
  <si>
    <t>FT/Adjunct</t>
  </si>
  <si>
    <t>Rank</t>
  </si>
  <si>
    <t>Qantified Rank</t>
  </si>
  <si>
    <t>Rank order basis</t>
  </si>
  <si>
    <t>Akram Ahmed</t>
  </si>
  <si>
    <t>FT</t>
  </si>
  <si>
    <t>Senior Lecturer</t>
  </si>
  <si>
    <t>Professor</t>
  </si>
  <si>
    <t>Tamara Babaian</t>
  </si>
  <si>
    <t>Associate Professor</t>
  </si>
  <si>
    <t>Associate professor</t>
  </si>
  <si>
    <t>Jay Cooprider</t>
  </si>
  <si>
    <t>Assistant professor</t>
  </si>
  <si>
    <t>Mark Frydenberg</t>
  </si>
  <si>
    <t>Monica Garfield</t>
  </si>
  <si>
    <t>Lecturer</t>
  </si>
  <si>
    <t>Vatche Ishakian</t>
  </si>
  <si>
    <t>Assistant Professor</t>
  </si>
  <si>
    <t>Adjunct</t>
  </si>
  <si>
    <t>Wendy Lucas</t>
  </si>
  <si>
    <t>Elizabeth McCarron</t>
  </si>
  <si>
    <t>Xinru Page</t>
  </si>
  <si>
    <t>James Pape</t>
  </si>
  <si>
    <t>Bill Schiano</t>
  </si>
  <si>
    <t>Heikki Topi</t>
  </si>
  <si>
    <t>Bill Vanderclock</t>
  </si>
  <si>
    <t>Les Waguespack</t>
  </si>
  <si>
    <t>Jennifer Xu</t>
  </si>
  <si>
    <t>David Yates</t>
  </si>
  <si>
    <t>Donald Aucoin</t>
  </si>
  <si>
    <t>Adjunct Lecturer</t>
  </si>
  <si>
    <t>Michael Banks</t>
  </si>
  <si>
    <t>Anstasia Biggs</t>
  </si>
  <si>
    <t>Mimoza Dimodugno</t>
  </si>
  <si>
    <t>Joed Graf</t>
  </si>
  <si>
    <t>Andrea Jones</t>
  </si>
  <si>
    <t>Matthew Macarty</t>
  </si>
  <si>
    <t>Joseph Nezuh</t>
  </si>
  <si>
    <t>Anne Pugliese</t>
  </si>
  <si>
    <t>Trish Rice</t>
  </si>
  <si>
    <t>David Rude</t>
  </si>
  <si>
    <t>Gaurav Shah</t>
  </si>
  <si>
    <t>Daniel Sheehan</t>
  </si>
  <si>
    <t>Robert Stubbs</t>
  </si>
  <si>
    <t>Stephen Tracy</t>
  </si>
  <si>
    <t>Charles Wright</t>
  </si>
  <si>
    <t>CRN</t>
  </si>
  <si>
    <t>Course</t>
  </si>
  <si>
    <t xml:space="preserve">Section </t>
  </si>
  <si>
    <t>Part of Term</t>
  </si>
  <si>
    <t>Title/Notes</t>
  </si>
  <si>
    <t>Graduate/Undergraduate?</t>
  </si>
  <si>
    <t>Days</t>
  </si>
  <si>
    <t>Times</t>
  </si>
  <si>
    <t>Room</t>
  </si>
  <si>
    <t>Instructor</t>
  </si>
  <si>
    <t>Part-time/Full-time?</t>
  </si>
  <si>
    <t xml:space="preserve">CS 605 </t>
  </si>
  <si>
    <t>Data Management &amp; Modeling </t>
  </si>
  <si>
    <t>Graduate</t>
  </si>
  <si>
    <t>M</t>
  </si>
  <si>
    <t>JEN 210</t>
  </si>
  <si>
    <t>Babaian, T</t>
  </si>
  <si>
    <t>Full -time</t>
  </si>
  <si>
    <t>CS 620</t>
  </si>
  <si>
    <t>100</t>
  </si>
  <si>
    <t>Global IT Project Management</t>
  </si>
  <si>
    <t>R</t>
  </si>
  <si>
    <t>JEN 309</t>
  </si>
  <si>
    <t>Schiano, W</t>
  </si>
  <si>
    <t xml:space="preserve">CS 603 </t>
  </si>
  <si>
    <t>Object-Oriented Applic Develop </t>
  </si>
  <si>
    <t>SMI 301</t>
  </si>
  <si>
    <t>Rude, D</t>
  </si>
  <si>
    <t>Part-time</t>
  </si>
  <si>
    <t xml:space="preserve">CS 610 </t>
  </si>
  <si>
    <t>Enterprise Architecture</t>
  </si>
  <si>
    <t>T</t>
  </si>
  <si>
    <t>CS 630</t>
  </si>
  <si>
    <t>Systems Analysis and Design</t>
  </si>
  <si>
    <t>SMI 212</t>
  </si>
  <si>
    <t>Topi, H</t>
  </si>
  <si>
    <t>W</t>
  </si>
  <si>
    <t>SMI 103</t>
  </si>
  <si>
    <t>Lucas, W</t>
  </si>
  <si>
    <t xml:space="preserve">CS 680 </t>
  </si>
  <si>
    <t>Mobile Application Development</t>
  </si>
  <si>
    <t>Pepe, J</t>
  </si>
  <si>
    <t>HB1</t>
  </si>
  <si>
    <t>SMI 201</t>
  </si>
  <si>
    <t>CS 650</t>
  </si>
  <si>
    <t>Data Management Architectures</t>
  </si>
  <si>
    <t>Cooprider, J</t>
  </si>
  <si>
    <t>HB2</t>
  </si>
  <si>
    <t>Data Management &amp; Modeling</t>
  </si>
  <si>
    <t>12:30PM - 02:50PM</t>
  </si>
  <si>
    <t>Ahmed, A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</si>
  <si>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</si>
  <si>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</si>
  <si>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</si>
  <si>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</si>
  <si>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</si>
  <si>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</si>
  <si>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 xml:space="preserve">CS 150 </t>
  </si>
  <si>
    <t>1</t>
  </si>
  <si>
    <t>Intro Data &amp; Info Mgmt</t>
  </si>
  <si>
    <t>Undergraduate</t>
  </si>
  <si>
    <t>MR</t>
  </si>
  <si>
    <t>02:00PM - 03:20PM</t>
  </si>
  <si>
    <t>Graf, J</t>
  </si>
  <si>
    <t>Part -time</t>
  </si>
  <si>
    <t>CS 350</t>
  </si>
  <si>
    <t>Database Management Systems </t>
  </si>
  <si>
    <t xml:space="preserve">IT 101 </t>
  </si>
  <si>
    <t>Info Tech and Computer System </t>
  </si>
  <si>
    <t>VanderClock, W</t>
  </si>
  <si>
    <t>Intro Data &amp; Info Mgmt </t>
  </si>
  <si>
    <t>11:00AM - 12:20PM</t>
  </si>
  <si>
    <t>SMI 101</t>
  </si>
  <si>
    <t xml:space="preserve">CS 213 </t>
  </si>
  <si>
    <t>The World Wide Web </t>
  </si>
  <si>
    <t>McCarron, E</t>
  </si>
  <si>
    <t>SL1</t>
  </si>
  <si>
    <t>12:30PM - 01:50PM</t>
  </si>
  <si>
    <t xml:space="preserve">CS 240 </t>
  </si>
  <si>
    <t>Bus Proc &amp; Comm Infrastructure</t>
  </si>
  <si>
    <t>SMI 218</t>
  </si>
  <si>
    <t>CS 150</t>
  </si>
  <si>
    <t>MW</t>
  </si>
  <si>
    <t>03:30PM - 04:50PM</t>
  </si>
  <si>
    <t xml:space="preserve">CS 299 </t>
  </si>
  <si>
    <t>Intro to Programmin w/Python </t>
  </si>
  <si>
    <t>Frydenberg, M</t>
  </si>
  <si>
    <t>IT 101</t>
  </si>
  <si>
    <t>Macarty, M</t>
  </si>
  <si>
    <t>X01</t>
  </si>
  <si>
    <t>05:00PM - 06:20PM</t>
  </si>
  <si>
    <t>SMI 210</t>
  </si>
  <si>
    <t>SMI 116</t>
  </si>
  <si>
    <t>Dimodugno, M</t>
  </si>
  <si>
    <t>08:00AM - 09:20AM</t>
  </si>
  <si>
    <t>Nezuh, J</t>
  </si>
  <si>
    <t>09:30AM - 10:50AM</t>
  </si>
  <si>
    <t>Biggs, A</t>
  </si>
  <si>
    <t>H01</t>
  </si>
  <si>
    <t>(H) Info Tech and Comp System </t>
  </si>
  <si>
    <t xml:space="preserve">CS 350 </t>
  </si>
  <si>
    <t>08:00AM - 10:50AM</t>
  </si>
  <si>
    <t>TF</t>
  </si>
  <si>
    <t xml:space="preserve">CS 180 </t>
  </si>
  <si>
    <t>Programming Fundamentals </t>
  </si>
  <si>
    <t>Page, X</t>
  </si>
  <si>
    <t xml:space="preserve">CS 460 </t>
  </si>
  <si>
    <t>IS Proj Mgmt &amp; Practice</t>
  </si>
  <si>
    <t>Yates, D</t>
  </si>
  <si>
    <t>SMI 307</t>
  </si>
  <si>
    <t>Tracey, S</t>
  </si>
  <si>
    <t>Intro to Programming w/Python </t>
  </si>
  <si>
    <t>SMI 203</t>
  </si>
  <si>
    <t>Xu, J</t>
  </si>
  <si>
    <t>SMI 118</t>
  </si>
  <si>
    <t>Rice, P</t>
  </si>
  <si>
    <t>TR</t>
  </si>
  <si>
    <t xml:space="preserve">CS 480 </t>
  </si>
  <si>
    <t>Advanced App Development Tech</t>
  </si>
  <si>
    <t xml:space="preserve">CS 360 </t>
  </si>
  <si>
    <t>Bus Sys Anal &amp; Modeling</t>
  </si>
  <si>
    <t>11:00AM - 01:50PM</t>
  </si>
  <si>
    <t>Waguespack, L</t>
  </si>
  <si>
    <t>E01</t>
  </si>
  <si>
    <t>Undergraduate Evening</t>
  </si>
  <si>
    <t>06:30PM - 09:10PM</t>
  </si>
  <si>
    <t>Stubbs, R</t>
  </si>
  <si>
    <t>E02</t>
  </si>
  <si>
    <t>1A</t>
  </si>
  <si>
    <t>Wright, C</t>
  </si>
  <si>
    <t>Banks, M</t>
  </si>
  <si>
    <t>Jones, A</t>
  </si>
  <si>
    <t>SMI 216</t>
  </si>
  <si>
    <t>CS 360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</si>
  <si>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</si>
  <si>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Is CIS</t>
  </si>
  <si>
    <t xml:space="preserve">                       ' 10825 10066</t>
  </si>
  <si>
    <t>CS 607</t>
  </si>
  <si>
    <t>Day</t>
  </si>
  <si>
    <t>Time</t>
  </si>
  <si>
    <t>Courses</t>
  </si>
  <si>
    <t>NameIndex</t>
  </si>
  <si>
    <t>CourseIndex</t>
  </si>
  <si>
    <t>DaysIndex</t>
  </si>
  <si>
    <t>Professor:</t>
  </si>
  <si>
    <t>Course:</t>
  </si>
  <si>
    <t>Days:</t>
  </si>
  <si>
    <t>Times:</t>
  </si>
  <si>
    <t>Can be scheduled</t>
  </si>
  <si>
    <t>Currently Scheduled</t>
  </si>
  <si>
    <t>Block #</t>
  </si>
  <si>
    <t>Day(s)</t>
  </si>
  <si>
    <t>Start Time</t>
  </si>
  <si>
    <t>End Time</t>
  </si>
  <si>
    <t>5:00pm</t>
  </si>
  <si>
    <t>7:20pm</t>
  </si>
  <si>
    <t>9:50pm</t>
  </si>
  <si>
    <t>Courseindex</t>
  </si>
  <si>
    <t>TimesIndex</t>
  </si>
  <si>
    <t>ClassBlocKIndex</t>
  </si>
  <si>
    <t>ClassBlockIndex</t>
  </si>
  <si>
    <t>Graduate Course Schedule</t>
  </si>
  <si>
    <t>GraduateIDaysIndx</t>
  </si>
  <si>
    <t>GraduateTimesIndx</t>
  </si>
  <si>
    <t>NumberofClassesScheduled</t>
  </si>
  <si>
    <t>Error Message:</t>
  </si>
  <si>
    <t>AlreadySchedule at time slot</t>
  </si>
  <si>
    <t>DuplicateClassScheduling</t>
  </si>
  <si>
    <t>AlreadyScheduleAtTimeSlot</t>
  </si>
  <si>
    <t>CS 610</t>
  </si>
  <si>
    <t>CS 605</t>
  </si>
  <si>
    <t>07:30PM - 9:50PM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</si>
</sst>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333333"/>
      <name val="Arial"/>
      <family val="2"/>
    </font>
    <font>
      <i/>
      <sz val="12"/>
      <color rgb="FF000000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56">
    <xf numFmtId="0" fontId="0" fillId="0" borderId="0" xfId="0"/>
    <xf numFmtId="0" fontId="2" fillId="0" borderId="0" xfId="0" applyFont="1"/>
    <xf numFmtId="0" fontId="4" fillId="0" borderId="0" xfId="1" applyFont="1"/>
    <xf numFmtId="0" fontId="4" fillId="0" borderId="0" xfId="1" applyFont="1" applyAlignment="1"/>
    <xf numFmtId="0" fontId="5" fillId="0" borderId="0" xfId="1" applyFont="1" applyAlignment="1"/>
    <xf numFmtId="0" fontId="3" fillId="0" borderId="0" xfId="1" applyFont="1" applyAlignment="1"/>
    <xf numFmtId="0" fontId="2" fillId="0" borderId="0" xfId="1" applyFont="1"/>
    <xf numFmtId="0" fontId="3" fillId="0" borderId="0" xfId="1" applyFont="1" applyAlignment="1">
      <alignment horizontal="left"/>
    </xf>
    <xf numFmtId="0" fontId="6" fillId="0" borderId="0" xfId="1" applyFont="1" applyAlignment="1"/>
    <xf numFmtId="0" fontId="7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" fillId="0" borderId="0" xfId="0" applyFont="1"/>
    <xf numFmtId="0" fontId="0" fillId="0" borderId="0" xfId="0" applyFill="1"/>
    <xf numFmtId="0" fontId="2" fillId="0" borderId="0" xfId="1" applyFont="1" applyAlignment="1">
      <alignment horizontal="right"/>
    </xf>
    <xf numFmtId="20" fontId="0" fillId="0" borderId="0" xfId="0" applyNumberFormat="1"/>
    <xf numFmtId="0" fontId="2" fillId="0" borderId="0" xfId="1" applyFont="1" applyFill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17" fillId="2" borderId="1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2" fillId="3" borderId="0" xfId="1" applyFont="1" applyFill="1"/>
    <xf numFmtId="0" fontId="0" fillId="3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0" xfId="0" applyFill="1"/>
    <xf numFmtId="0" fontId="2" fillId="4" borderId="0" xfId="1" applyFont="1" applyFill="1"/>
    <xf numFmtId="0" fontId="0" fillId="4" borderId="0" xfId="0" applyFill="1" applyAlignment="1">
      <alignment horizontal="center" vertical="center"/>
    </xf>
    <xf numFmtId="0" fontId="2" fillId="2" borderId="9" xfId="1" applyFont="1" applyFill="1" applyBorder="1"/>
    <xf numFmtId="0" fontId="19" fillId="2" borderId="10" xfId="1" applyFont="1" applyFill="1" applyBorder="1"/>
    <xf numFmtId="0" fontId="2" fillId="2" borderId="1" xfId="1" applyFont="1" applyFill="1" applyBorder="1"/>
    <xf numFmtId="0" fontId="2" fillId="2" borderId="3" xfId="1" applyFont="1" applyFill="1" applyBorder="1"/>
    <xf numFmtId="0" fontId="2" fillId="2" borderId="4" xfId="1" applyFont="1" applyFill="1" applyBorder="1"/>
    <xf numFmtId="0" fontId="2" fillId="2" borderId="5" xfId="1" applyFont="1" applyFill="1" applyBorder="1"/>
    <xf numFmtId="0" fontId="0" fillId="2" borderId="5" xfId="0" applyFill="1" applyBorder="1"/>
    <xf numFmtId="0" fontId="16" fillId="2" borderId="4" xfId="1" applyFont="1" applyFill="1" applyBorder="1" applyAlignment="1">
      <alignment horizontal="right" vertical="center"/>
    </xf>
    <xf numFmtId="0" fontId="15" fillId="2" borderId="4" xfId="0" applyFont="1" applyFill="1" applyBorder="1" applyAlignment="1">
      <alignment horizontal="right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18" fillId="2" borderId="4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2">
    <dxf>
      <font>
        <b val="0"/>
        <i val="0"/>
        <color rgb="FFC0000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D$2" fmlaRange="InputRange" noThreeD="1" sel="7" val="4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fmlaLink="$M$6" fmlaRange="$A$3:$A$34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T$2" fmlaRange="$I$2:$I$33" noThreeD="1" sel="28" val="24"/>
</file>

<file path=xl/ctrlProps/ctrlProp6.xml><?xml version="1.0" encoding="utf-8"?>
<formControlPr xmlns="http://schemas.microsoft.com/office/spreadsheetml/2009/9/main" objectType="Drop" dropStyle="combo" dx="22" fmlaLink="$U$2" fmlaRange="$J$12:$J$19" noThreeD="1" sel="3" val="0"/>
</file>

<file path=xl/ctrlProps/ctrlProp7.xml><?xml version="1.0" encoding="utf-8"?>
<formControlPr xmlns="http://schemas.microsoft.com/office/spreadsheetml/2009/9/main" objectType="Drop" dropStyle="combo" dx="22" fmlaLink="$V$2" fmlaRange="$K$2:$K$5" noThreeD="1" sel="2" val="0"/>
</file>

<file path=xl/ctrlProps/ctrlProp8.xml><?xml version="1.0" encoding="utf-8"?>
<formControlPr xmlns="http://schemas.microsoft.com/office/spreadsheetml/2009/9/main" objectType="Drop" dropStyle="combo" dx="22" fmlaLink="$W$2" fmlaRange="$L$10:$L$11" noThreeD="1" sel="2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1440611</xdr:colOff>
          <xdr:row>4</xdr:row>
          <xdr:rowOff>181155</xdr:rowOff>
        </xdr:from>
        <xdr:to>
          <xdr:col>12</xdr:col>
          <xdr:colOff>0</xdr:colOff>
          <xdr:row>6</xdr:row>
          <xdr:rowOff>8626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25879</xdr:rowOff>
        </xdr:from>
        <xdr:to>
          <xdr:col>12</xdr:col>
          <xdr:colOff>25879</xdr:colOff>
          <xdr:row>7</xdr:row>
          <xdr:rowOff>25879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146649</xdr:colOff>
          <xdr:row>14</xdr:row>
          <xdr:rowOff>0</xdr:rowOff>
        </xdr:from>
        <xdr:to>
          <xdr:col>10</xdr:col>
          <xdr:colOff>603849</xdr:colOff>
          <xdr:row>15</xdr:row>
          <xdr:rowOff>0</xdr:rowOff>
        </xdr:to>
        <xdr:sp macro="" textlink="">
          <xdr:nvSpPr>
            <xdr:cNvPr id="2050" name="DropDow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25879</xdr:colOff>
          <xdr:row>7</xdr:row>
          <xdr:rowOff>25879</xdr:rowOff>
        </xdr:from>
        <xdr:to>
          <xdr:col>13</xdr:col>
          <xdr:colOff>0</xdr:colOff>
          <xdr:row>9</xdr:row>
          <xdr:rowOff>181155</xdr:rowOff>
        </xdr:to>
        <xdr:sp macro="" textlink="">
          <xdr:nvSpPr>
            <xdr:cNvPr id="7171" name="Button 3" descr="Submi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193" name="DropDow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8626</xdr:rowOff>
        </xdr:from>
        <xdr:to>
          <xdr:col>15</xdr:col>
          <xdr:colOff>0</xdr:colOff>
          <xdr:row>31</xdr:row>
          <xdr:rowOff>172527</xdr:rowOff>
        </xdr:to>
        <xdr:sp macro="" textlink="">
          <xdr:nvSpPr>
            <xdr:cNvPr id="8195" name="DropDow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8626</xdr:colOff>
          <xdr:row>33</xdr:row>
          <xdr:rowOff>8626</xdr:rowOff>
        </xdr:from>
        <xdr:to>
          <xdr:col>15</xdr:col>
          <xdr:colOff>0</xdr:colOff>
          <xdr:row>34</xdr:row>
          <xdr:rowOff>172527</xdr:rowOff>
        </xdr:to>
        <xdr:sp macro="" textlink="">
          <xdr:nvSpPr>
            <xdr:cNvPr id="8196" name="DropDow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8626</xdr:colOff>
          <xdr:row>36</xdr:row>
          <xdr:rowOff>8626</xdr:rowOff>
        </xdr:from>
        <xdr:to>
          <xdr:col>15</xdr:col>
          <xdr:colOff>0</xdr:colOff>
          <xdr:row>37</xdr:row>
          <xdr:rowOff>172529</xdr:rowOff>
        </xdr:to>
        <xdr:sp macro="" textlink="">
          <xdr:nvSpPr>
            <xdr:cNvPr id="8197" name="DropDown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77638</xdr:rowOff>
        </xdr:from>
        <xdr:to>
          <xdr:col>5</xdr:col>
          <xdr:colOff>534837</xdr:colOff>
          <xdr:row>39</xdr:row>
          <xdr:rowOff>86263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491706</xdr:colOff>
          <xdr:row>39</xdr:row>
          <xdr:rowOff>0</xdr:rowOff>
        </xdr:from>
        <xdr:to>
          <xdr:col>14</xdr:col>
          <xdr:colOff>1440611</xdr:colOff>
          <xdr:row>41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256854</xdr:colOff>
      <xdr:row>20</xdr:row>
      <xdr:rowOff>546100</xdr:rowOff>
    </xdr:from>
    <xdr:to>
      <xdr:col>4</xdr:col>
      <xdr:colOff>1113686</xdr:colOff>
      <xdr:row>23</xdr:row>
      <xdr:rowOff>127006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54" y="546100"/>
          <a:ext cx="4315146" cy="1371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1574800</xdr:colOff>
      <xdr:row>20</xdr:row>
      <xdr:rowOff>330200</xdr:rowOff>
    </xdr:from>
    <xdr:to>
      <xdr:col>19</xdr:col>
      <xdr:colOff>658658</xdr:colOff>
      <xdr:row>23</xdr:row>
      <xdr:rowOff>317506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30200"/>
          <a:ext cx="6418146" cy="177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3">
          <cell r="T13" t="str">
            <v>x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3"/>
  <sheetViews>
    <sheetView workbookViewId="0">
      <selection activeCell="M7" sqref="M7"/>
    </sheetView>
  </sheetViews>
  <sheetFormatPr defaultColWidth="8.875" defaultRowHeight="14.3"/>
  <cols>
    <col min="1" max="1" width="18.25" bestFit="1" customWidth="1"/>
    <col min="2" max="2" width="12" bestFit="1" customWidth="1"/>
    <col min="3" max="3" width="19" bestFit="1" customWidth="1"/>
    <col min="4" max="5" width="19" customWidth="1"/>
    <col min="6" max="6" width="10.25" bestFit="1" customWidth="1"/>
    <col min="11" max="11" width="21.875" bestFit="1" customWidth="1"/>
    <col min="12" max="12" width="29.375" customWidth="1"/>
    <col min="14" max="14" width="11.375" bestFit="1" customWidth="1"/>
  </cols>
  <sheetData>
    <row r="2" spans="1:15">
      <c r="A2" s="16" t="s">
        <v>23</v>
      </c>
      <c r="B2" s="15">
        <f ca="1">RAND()</f>
        <v>0.66907831932060646</v>
      </c>
      <c r="C2" t="str">
        <f ca="1">INDEX($A$2:$A$33,RANK($B2,$B$2:$B$33))</f>
        <v>Bill Schiano</v>
      </c>
      <c r="D2">
        <v>7</v>
      </c>
      <c r="E2" t="str">
        <f>IF(D2=1,,A2)</f>
        <v>Akram Ahmed</v>
      </c>
    </row>
    <row r="3" spans="1:15">
      <c r="A3" s="16" t="s">
        <v>27</v>
      </c>
      <c r="B3" s="15">
        <f t="shared" ref="B3:B33" ca="1" si="0">RAND()</f>
        <v>0.91548755823030403</v>
      </c>
      <c r="C3" t="str">
        <f t="shared" ref="C3:C33" ca="1" si="1">INDEX($A$2:$A$33,RANK($B3,$B$2:$B$33))</f>
        <v>Jay Cooprider</v>
      </c>
      <c r="E3" t="str">
        <f t="shared" ref="E3:E33" si="2">IF(D3=1,,A3)</f>
        <v>Tamara Babaian</v>
      </c>
    </row>
    <row r="4" spans="1:15">
      <c r="A4" s="16" t="s">
        <v>30</v>
      </c>
      <c r="B4" s="15">
        <f t="shared" ca="1" si="0"/>
        <v>0.64581962569540352</v>
      </c>
      <c r="C4" t="str">
        <f t="shared" ca="1" si="1"/>
        <v>Bill Vanderclock</v>
      </c>
      <c r="E4" t="str">
        <f t="shared" si="2"/>
        <v>Jay Cooprider</v>
      </c>
      <c r="G4" t="s">
        <v>9</v>
      </c>
      <c r="H4" t="s">
        <v>10</v>
      </c>
      <c r="I4" t="s">
        <v>4</v>
      </c>
    </row>
    <row r="5" spans="1:15">
      <c r="A5" s="16" t="s">
        <v>32</v>
      </c>
      <c r="B5" s="15">
        <f t="shared" ca="1" si="0"/>
        <v>0.33206542578795639</v>
      </c>
      <c r="C5" t="str">
        <f t="shared" ca="1" si="1"/>
        <v>Andrea Jones</v>
      </c>
      <c r="E5" t="str">
        <f t="shared" si="2"/>
        <v>Mark Frydenberg</v>
      </c>
      <c r="F5" t="s">
        <v>0</v>
      </c>
      <c r="G5">
        <v>2</v>
      </c>
      <c r="I5">
        <f ca="1">COUNTA(C2:C33)</f>
        <v>32</v>
      </c>
      <c r="L5" t="s">
        <v>11</v>
      </c>
      <c r="M5" t="s">
        <v>12</v>
      </c>
      <c r="N5" t="s">
        <v>13</v>
      </c>
      <c r="O5" t="s">
        <v>14</v>
      </c>
    </row>
    <row r="6" spans="1:15" ht="15.65">
      <c r="A6" s="16" t="s">
        <v>33</v>
      </c>
      <c r="B6" s="15">
        <f t="shared" ca="1" si="0"/>
        <v>3.2463287290710685E-2</v>
      </c>
      <c r="C6" t="str">
        <f t="shared" ca="1" si="1"/>
        <v>Charles Wright</v>
      </c>
      <c r="E6" t="str">
        <f t="shared" si="2"/>
        <v>Monica Garfield</v>
      </c>
      <c r="F6" t="s">
        <v>1</v>
      </c>
      <c r="G6">
        <v>5</v>
      </c>
      <c r="K6" s="1" t="s">
        <v>15</v>
      </c>
    </row>
    <row r="7" spans="1:15" ht="15.65">
      <c r="A7" s="16" t="s">
        <v>35</v>
      </c>
      <c r="B7" s="15">
        <f t="shared" ca="1" si="0"/>
        <v>0.40265386653817414</v>
      </c>
      <c r="C7" t="str">
        <f t="shared" ca="1" si="1"/>
        <v>Mimoza Dimodugno</v>
      </c>
      <c r="E7" t="str">
        <f t="shared" si="2"/>
        <v>Vatche Ishakian</v>
      </c>
      <c r="F7" t="s">
        <v>2</v>
      </c>
      <c r="G7">
        <v>1</v>
      </c>
      <c r="K7" s="1" t="s">
        <v>16</v>
      </c>
    </row>
    <row r="8" spans="1:15">
      <c r="A8" s="16" t="s">
        <v>38</v>
      </c>
      <c r="B8" s="15">
        <f t="shared" ca="1" si="0"/>
        <v>9.9114927149741794E-2</v>
      </c>
      <c r="C8" t="str">
        <f t="shared" ca="1" si="1"/>
        <v>David Rude</v>
      </c>
      <c r="E8" t="str">
        <f t="shared" si="2"/>
        <v>Wendy Lucas</v>
      </c>
      <c r="F8" t="s">
        <v>3</v>
      </c>
      <c r="G8">
        <v>0</v>
      </c>
    </row>
    <row r="9" spans="1:15">
      <c r="A9" s="16" t="s">
        <v>39</v>
      </c>
      <c r="B9" s="15">
        <f t="shared" ca="1" si="0"/>
        <v>0.8724543107620466</v>
      </c>
      <c r="C9" t="str">
        <f t="shared" ca="1" si="1"/>
        <v>Mark Frydenberg</v>
      </c>
      <c r="E9" t="str">
        <f t="shared" si="2"/>
        <v>Elizabeth McCarron</v>
      </c>
    </row>
    <row r="10" spans="1:15">
      <c r="A10" s="16" t="s">
        <v>40</v>
      </c>
      <c r="B10" s="15">
        <f t="shared" ca="1" si="0"/>
        <v>0.54284980540029071</v>
      </c>
      <c r="C10" t="str">
        <f t="shared" ca="1" si="1"/>
        <v>David Yates</v>
      </c>
      <c r="E10" t="str">
        <f t="shared" si="2"/>
        <v>Xinru Page</v>
      </c>
    </row>
    <row r="11" spans="1:15">
      <c r="A11" s="16" t="s">
        <v>41</v>
      </c>
      <c r="B11" s="15">
        <f t="shared" ca="1" si="0"/>
        <v>0.54799002801300167</v>
      </c>
      <c r="C11" t="str">
        <f t="shared" ca="1" si="1"/>
        <v>Jennifer Xu</v>
      </c>
      <c r="E11" t="str">
        <f t="shared" si="2"/>
        <v>James Pape</v>
      </c>
    </row>
    <row r="12" spans="1:15">
      <c r="A12" s="16" t="s">
        <v>42</v>
      </c>
      <c r="B12" s="15">
        <f t="shared" ca="1" si="0"/>
        <v>0.47063751173681945</v>
      </c>
      <c r="C12" t="str">
        <f t="shared" ca="1" si="1"/>
        <v>Michael Banks</v>
      </c>
      <c r="E12" t="str">
        <f t="shared" si="2"/>
        <v>Bill Schiano</v>
      </c>
    </row>
    <row r="13" spans="1:15">
      <c r="A13" s="16" t="s">
        <v>43</v>
      </c>
      <c r="B13" s="15">
        <f t="shared" ca="1" si="0"/>
        <v>4.3315306652629837E-2</v>
      </c>
      <c r="C13" t="str">
        <f t="shared" ca="1" si="1"/>
        <v>Robert Stubbs</v>
      </c>
      <c r="E13" t="str">
        <f t="shared" si="2"/>
        <v>Heikki Topi</v>
      </c>
    </row>
    <row r="14" spans="1:15">
      <c r="A14" s="16" t="s">
        <v>44</v>
      </c>
      <c r="B14" s="15">
        <f t="shared" ca="1" si="0"/>
        <v>0.41659227061353565</v>
      </c>
      <c r="C14" t="str">
        <f t="shared" ca="1" si="1"/>
        <v>Anstasia Biggs</v>
      </c>
      <c r="E14" t="str">
        <f t="shared" si="2"/>
        <v>Bill Vanderclock</v>
      </c>
    </row>
    <row r="15" spans="1:15">
      <c r="A15" s="16" t="s">
        <v>45</v>
      </c>
      <c r="B15" s="15">
        <f t="shared" ca="1" si="0"/>
        <v>8.037356351291447E-2</v>
      </c>
      <c r="C15" t="str">
        <f t="shared" ca="1" si="1"/>
        <v>Daniel Sheehan</v>
      </c>
      <c r="E15" t="str">
        <f t="shared" si="2"/>
        <v>Les Waguespack</v>
      </c>
      <c r="G15" t="s">
        <v>5</v>
      </c>
    </row>
    <row r="16" spans="1:15">
      <c r="A16" s="16" t="s">
        <v>46</v>
      </c>
      <c r="B16" s="15">
        <f t="shared" ca="1" si="0"/>
        <v>0.66865921926602512</v>
      </c>
      <c r="C16" t="str">
        <f t="shared" ca="1" si="1"/>
        <v>Heikki Topi</v>
      </c>
      <c r="E16" t="str">
        <f t="shared" si="2"/>
        <v>Jennifer Xu</v>
      </c>
      <c r="G16" t="s">
        <v>6</v>
      </c>
      <c r="H16" t="s">
        <v>7</v>
      </c>
      <c r="I16" t="s">
        <v>8</v>
      </c>
    </row>
    <row r="17" spans="1:9">
      <c r="A17" s="16" t="s">
        <v>47</v>
      </c>
      <c r="B17" s="15">
        <f t="shared" ca="1" si="0"/>
        <v>0.30927699019310295</v>
      </c>
      <c r="C17" t="str">
        <f t="shared" ca="1" si="1"/>
        <v>Matthew Macarty</v>
      </c>
      <c r="E17" t="str">
        <f t="shared" si="2"/>
        <v>David Yates</v>
      </c>
      <c r="G17" t="str">
        <f>RandomSelection($F$5:$F$8)</f>
        <v>blue</v>
      </c>
      <c r="H17" t="str">
        <f>RandomSelection($F$5:$F$8)</f>
        <v>blue</v>
      </c>
      <c r="I17" t="str">
        <f>RandomSelection($F$5:$F$8)</f>
        <v>blue</v>
      </c>
    </row>
    <row r="18" spans="1:9">
      <c r="A18" s="16" t="s">
        <v>48</v>
      </c>
      <c r="B18" s="15">
        <f t="shared" ca="1" si="0"/>
        <v>0.79147954079669725</v>
      </c>
      <c r="C18" t="str">
        <f t="shared" ca="1" si="1"/>
        <v>Vatche Ishakian</v>
      </c>
      <c r="E18" t="str">
        <f t="shared" si="2"/>
        <v>Donald Aucoin</v>
      </c>
      <c r="G18" t="str">
        <f>IF(EXACT(RandomSelection($F$5:$F$8),$F$5),"pink","notpink")</f>
        <v>notpink</v>
      </c>
      <c r="H18" t="str">
        <f t="shared" ref="H18:I18" si="3">IF(EXACT(RandomSelection($F$5:$F$8),$F$5),"pink","notpink")</f>
        <v>pink</v>
      </c>
      <c r="I18" t="str">
        <f t="shared" si="3"/>
        <v>pink</v>
      </c>
    </row>
    <row r="19" spans="1:9">
      <c r="A19" s="16" t="s">
        <v>50</v>
      </c>
      <c r="B19" s="15">
        <f t="shared" ca="1" si="0"/>
        <v>0.15349238193556536</v>
      </c>
      <c r="C19" t="str">
        <f t="shared" ca="1" si="1"/>
        <v>Trish Rice</v>
      </c>
      <c r="E19" t="str">
        <f t="shared" si="2"/>
        <v>Michael Banks</v>
      </c>
    </row>
    <row r="20" spans="1:9">
      <c r="A20" s="16" t="s">
        <v>51</v>
      </c>
      <c r="B20" s="15">
        <f t="shared" ca="1" si="0"/>
        <v>0.39209707929763693</v>
      </c>
      <c r="C20" t="str">
        <f t="shared" ca="1" si="1"/>
        <v>Joed Graf</v>
      </c>
      <c r="E20" t="str">
        <f t="shared" si="2"/>
        <v>Anstasia Biggs</v>
      </c>
    </row>
    <row r="21" spans="1:9">
      <c r="A21" s="16" t="s">
        <v>52</v>
      </c>
      <c r="B21" s="15">
        <f t="shared" ca="1" si="0"/>
        <v>8.7971763939735492E-2</v>
      </c>
      <c r="C21" t="str">
        <f t="shared" ca="1" si="1"/>
        <v>Gaurav Shah</v>
      </c>
      <c r="E21" t="str">
        <f t="shared" si="2"/>
        <v>Mimoza Dimodugno</v>
      </c>
    </row>
    <row r="22" spans="1:9">
      <c r="A22" s="16" t="s">
        <v>53</v>
      </c>
      <c r="B22" s="15">
        <f t="shared" ca="1" si="0"/>
        <v>0.5790016860861944</v>
      </c>
      <c r="C22" t="str">
        <f t="shared" ca="1" si="1"/>
        <v>Les Waguespack</v>
      </c>
      <c r="E22" t="str">
        <f t="shared" si="2"/>
        <v>Joed Graf</v>
      </c>
    </row>
    <row r="23" spans="1:9">
      <c r="A23" s="16" t="s">
        <v>54</v>
      </c>
      <c r="B23" s="15">
        <f t="shared" ca="1" si="0"/>
        <v>0.30524466016386309</v>
      </c>
      <c r="C23" t="str">
        <f t="shared" ca="1" si="1"/>
        <v>Joseph Nezuh</v>
      </c>
      <c r="E23" t="str">
        <f t="shared" si="2"/>
        <v>Andrea Jones</v>
      </c>
    </row>
    <row r="24" spans="1:9">
      <c r="A24" s="16" t="s">
        <v>55</v>
      </c>
      <c r="B24" s="15">
        <f t="shared" ca="1" si="0"/>
        <v>0.7560791493146557</v>
      </c>
      <c r="C24" t="str">
        <f t="shared" ca="1" si="1"/>
        <v>Elizabeth McCarron</v>
      </c>
      <c r="E24" t="str">
        <f t="shared" si="2"/>
        <v>Matthew Macarty</v>
      </c>
    </row>
    <row r="25" spans="1:9">
      <c r="A25" s="16" t="s">
        <v>56</v>
      </c>
      <c r="B25" s="15">
        <f t="shared" ca="1" si="0"/>
        <v>0.86674188094985916</v>
      </c>
      <c r="C25" t="str">
        <f t="shared" ca="1" si="1"/>
        <v>Monica Garfield</v>
      </c>
      <c r="E25" t="str">
        <f t="shared" si="2"/>
        <v>Joseph Nezuh</v>
      </c>
    </row>
    <row r="26" spans="1:9">
      <c r="A26" s="16" t="s">
        <v>57</v>
      </c>
      <c r="B26" s="15">
        <f t="shared" ca="1" si="0"/>
        <v>0.52587100294569811</v>
      </c>
      <c r="C26" t="str">
        <f t="shared" ca="1" si="1"/>
        <v>Donald Aucoin</v>
      </c>
      <c r="E26" t="str">
        <f t="shared" si="2"/>
        <v>Anne Pugliese</v>
      </c>
    </row>
    <row r="27" spans="1:9">
      <c r="A27" s="16" t="s">
        <v>58</v>
      </c>
      <c r="B27" s="15">
        <f t="shared" ca="1" si="0"/>
        <v>0.74210213551163351</v>
      </c>
      <c r="C27" t="str">
        <f t="shared" ca="1" si="1"/>
        <v>James Pape</v>
      </c>
      <c r="E27" t="str">
        <f t="shared" si="2"/>
        <v>Trish Rice</v>
      </c>
    </row>
    <row r="28" spans="1:9">
      <c r="A28" s="16" t="s">
        <v>59</v>
      </c>
      <c r="B28" s="15">
        <f t="shared" ca="1" si="0"/>
        <v>0.2187313728721465</v>
      </c>
      <c r="C28" t="str">
        <f t="shared" ca="1" si="1"/>
        <v>Anne Pugliese</v>
      </c>
      <c r="E28" t="str">
        <f t="shared" si="2"/>
        <v>David Rude</v>
      </c>
    </row>
    <row r="29" spans="1:9">
      <c r="A29" s="16" t="s">
        <v>60</v>
      </c>
      <c r="B29" s="15">
        <f t="shared" ca="1" si="0"/>
        <v>3.9788801289107445E-2</v>
      </c>
      <c r="C29" t="str">
        <f t="shared" ca="1" si="1"/>
        <v>Stephen Tracy</v>
      </c>
      <c r="E29" t="str">
        <f t="shared" si="2"/>
        <v>Gaurav Shah</v>
      </c>
    </row>
    <row r="30" spans="1:9">
      <c r="A30" s="16" t="s">
        <v>61</v>
      </c>
      <c r="B30" s="15">
        <f t="shared" ca="1" si="0"/>
        <v>0.9965553509775692</v>
      </c>
      <c r="C30" t="str">
        <f t="shared" ca="1" si="1"/>
        <v>Akram Ahmed</v>
      </c>
      <c r="E30" t="str">
        <f t="shared" si="2"/>
        <v>Daniel Sheehan</v>
      </c>
    </row>
    <row r="31" spans="1:9">
      <c r="A31" s="16" t="s">
        <v>62</v>
      </c>
      <c r="B31" s="15">
        <f t="shared" ca="1" si="0"/>
        <v>0.76321573403342025</v>
      </c>
      <c r="C31" t="str">
        <f t="shared" ca="1" si="1"/>
        <v>Wendy Lucas</v>
      </c>
      <c r="E31" t="str">
        <f t="shared" si="2"/>
        <v>Robert Stubbs</v>
      </c>
    </row>
    <row r="32" spans="1:9">
      <c r="A32" s="16" t="s">
        <v>63</v>
      </c>
      <c r="B32" s="15">
        <f t="shared" ca="1" si="0"/>
        <v>0.74229067158121431</v>
      </c>
      <c r="C32" t="str">
        <f t="shared" ca="1" si="1"/>
        <v>Xinru Page</v>
      </c>
      <c r="E32" t="str">
        <f t="shared" si="2"/>
        <v>Stephen Tracy</v>
      </c>
    </row>
    <row r="33" spans="1:5">
      <c r="A33" s="16" t="s">
        <v>64</v>
      </c>
      <c r="B33" s="15">
        <f t="shared" ca="1" si="0"/>
        <v>0.93781109637800009</v>
      </c>
      <c r="C33" t="str">
        <f t="shared" ca="1" si="1"/>
        <v>Tamara Babaian</v>
      </c>
      <c r="E33" t="str">
        <f t="shared" si="2"/>
        <v>Charles Wright</v>
      </c>
    </row>
  </sheetData>
  <customSheetViews>
    <customSheetView guid="{9692233C-0F2E-654E-8AC6-8C4CF1DC23E8}">
      <selection activeCell="M7" sqref="M7"/>
      <pageMargins left="0.7" right="0.7" top="0.75" bottom="0.75" header="0.3" footer="0.3"/>
    </customSheetView>
    <customSheetView guid="{F88BE81C-8BBC-CE40-9183-746E883A9C1B}">
      <selection activeCell="M7" sqref="M7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10</xdr:col>
                    <xdr:colOff>1440611</xdr:colOff>
                    <xdr:row>4</xdr:row>
                    <xdr:rowOff>181155</xdr:rowOff>
                  </from>
                  <to>
                    <xdr:col>12</xdr:col>
                    <xdr:colOff>0</xdr:colOff>
                    <xdr:row>6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6</xdr:row>
                    <xdr:rowOff>25879</xdr:rowOff>
                  </from>
                  <to>
                    <xdr:col>12</xdr:col>
                    <xdr:colOff>25879</xdr:colOff>
                    <xdr:row>7</xdr:row>
                    <xdr:rowOff>25879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4"/>
  <sheetViews>
    <sheetView workbookViewId="0">
      <selection activeCell="B2" sqref="B2:E34"/>
    </sheetView>
  </sheetViews>
  <sheetFormatPr defaultColWidth="8.875" defaultRowHeight="14.3"/>
  <cols>
    <col min="1" max="1" width="19.125" customWidth="1"/>
    <col min="2" max="2" width="9.75" bestFit="1" customWidth="1"/>
    <col min="3" max="3" width="17.25" bestFit="1" customWidth="1"/>
    <col min="4" max="4" width="14.25" bestFit="1" customWidth="1"/>
    <col min="12" max="12" width="13.75" bestFit="1" customWidth="1"/>
  </cols>
  <sheetData>
    <row r="1" spans="1:13">
      <c r="A1" t="s">
        <v>17</v>
      </c>
    </row>
    <row r="2" spans="1:13">
      <c r="A2" t="s">
        <v>18</v>
      </c>
      <c r="B2" t="s">
        <v>19</v>
      </c>
      <c r="C2" t="s">
        <v>20</v>
      </c>
      <c r="D2" t="s">
        <v>21</v>
      </c>
      <c r="E2" t="s">
        <v>200</v>
      </c>
      <c r="G2" t="s">
        <v>22</v>
      </c>
    </row>
    <row r="3" spans="1:13">
      <c r="A3" t="s">
        <v>23</v>
      </c>
      <c r="B3" t="s">
        <v>24</v>
      </c>
      <c r="C3" t="s">
        <v>25</v>
      </c>
      <c r="D3">
        <v>4</v>
      </c>
      <c r="E3">
        <v>1</v>
      </c>
      <c r="G3">
        <v>1</v>
      </c>
      <c r="H3" t="s">
        <v>26</v>
      </c>
    </row>
    <row r="4" spans="1:13">
      <c r="A4" t="s">
        <v>54</v>
      </c>
      <c r="B4" t="s">
        <v>37</v>
      </c>
      <c r="C4" t="s">
        <v>49</v>
      </c>
      <c r="D4">
        <v>6</v>
      </c>
      <c r="E4">
        <v>1</v>
      </c>
      <c r="G4">
        <v>2</v>
      </c>
      <c r="H4" t="s">
        <v>29</v>
      </c>
      <c r="M4" t="s">
        <v>200</v>
      </c>
    </row>
    <row r="5" spans="1:13">
      <c r="A5" t="s">
        <v>57</v>
      </c>
      <c r="B5" t="s">
        <v>37</v>
      </c>
      <c r="C5" t="s">
        <v>49</v>
      </c>
      <c r="D5">
        <v>6</v>
      </c>
      <c r="E5">
        <v>1</v>
      </c>
      <c r="G5">
        <v>3</v>
      </c>
      <c r="H5" t="s">
        <v>31</v>
      </c>
      <c r="L5" t="s">
        <v>23</v>
      </c>
      <c r="M5">
        <f>MATCH(L5,A3:A34,0)</f>
        <v>1</v>
      </c>
    </row>
    <row r="6" spans="1:13">
      <c r="A6" t="s">
        <v>51</v>
      </c>
      <c r="B6" t="s">
        <v>37</v>
      </c>
      <c r="C6" t="s">
        <v>49</v>
      </c>
      <c r="D6">
        <v>6</v>
      </c>
      <c r="E6">
        <v>1</v>
      </c>
      <c r="G6">
        <v>4</v>
      </c>
      <c r="H6" t="s">
        <v>25</v>
      </c>
      <c r="M6">
        <v>1</v>
      </c>
    </row>
    <row r="7" spans="1:13">
      <c r="A7" t="s">
        <v>42</v>
      </c>
      <c r="B7" t="s">
        <v>24</v>
      </c>
      <c r="C7" t="s">
        <v>26</v>
      </c>
      <c r="D7">
        <v>1</v>
      </c>
      <c r="E7">
        <v>1</v>
      </c>
      <c r="G7">
        <v>5</v>
      </c>
      <c r="H7" t="s">
        <v>34</v>
      </c>
    </row>
    <row r="8" spans="1:13">
      <c r="A8" t="s">
        <v>44</v>
      </c>
      <c r="B8" t="s">
        <v>24</v>
      </c>
      <c r="C8" t="s">
        <v>25</v>
      </c>
      <c r="D8">
        <v>4</v>
      </c>
      <c r="E8">
        <v>1</v>
      </c>
      <c r="G8">
        <v>6</v>
      </c>
      <c r="H8" t="s">
        <v>37</v>
      </c>
    </row>
    <row r="9" spans="1:13">
      <c r="A9" t="s">
        <v>64</v>
      </c>
      <c r="B9" t="s">
        <v>37</v>
      </c>
      <c r="C9" t="s">
        <v>49</v>
      </c>
      <c r="D9">
        <v>6</v>
      </c>
      <c r="E9">
        <v>1</v>
      </c>
    </row>
    <row r="10" spans="1:13">
      <c r="A10" t="s">
        <v>61</v>
      </c>
      <c r="B10" t="s">
        <v>37</v>
      </c>
      <c r="C10" t="s">
        <v>49</v>
      </c>
      <c r="D10">
        <v>6</v>
      </c>
      <c r="E10">
        <v>1</v>
      </c>
    </row>
    <row r="11" spans="1:13">
      <c r="A11" t="s">
        <v>59</v>
      </c>
      <c r="B11" t="s">
        <v>37</v>
      </c>
      <c r="C11" t="s">
        <v>49</v>
      </c>
      <c r="D11">
        <v>6</v>
      </c>
      <c r="E11">
        <v>1</v>
      </c>
    </row>
    <row r="12" spans="1:13">
      <c r="A12" t="s">
        <v>47</v>
      </c>
      <c r="B12" t="s">
        <v>24</v>
      </c>
      <c r="C12" t="s">
        <v>28</v>
      </c>
      <c r="D12">
        <v>2</v>
      </c>
      <c r="E12">
        <v>1</v>
      </c>
    </row>
    <row r="13" spans="1:13">
      <c r="A13" t="s">
        <v>48</v>
      </c>
      <c r="B13" t="s">
        <v>37</v>
      </c>
      <c r="C13" t="s">
        <v>49</v>
      </c>
      <c r="D13">
        <v>6</v>
      </c>
      <c r="E13">
        <v>1</v>
      </c>
    </row>
    <row r="14" spans="1:13">
      <c r="A14" t="s">
        <v>39</v>
      </c>
      <c r="B14" t="s">
        <v>24</v>
      </c>
      <c r="C14" t="s">
        <v>34</v>
      </c>
      <c r="D14">
        <v>5</v>
      </c>
      <c r="E14">
        <v>1</v>
      </c>
    </row>
    <row r="15" spans="1:13">
      <c r="A15" t="s">
        <v>60</v>
      </c>
      <c r="B15" t="s">
        <v>37</v>
      </c>
      <c r="C15" t="s">
        <v>49</v>
      </c>
      <c r="D15">
        <v>6</v>
      </c>
      <c r="E15">
        <v>1</v>
      </c>
    </row>
    <row r="16" spans="1:13">
      <c r="A16" t="s">
        <v>43</v>
      </c>
      <c r="B16" t="s">
        <v>24</v>
      </c>
      <c r="C16" t="s">
        <v>26</v>
      </c>
      <c r="D16">
        <v>1</v>
      </c>
      <c r="E16">
        <v>1</v>
      </c>
    </row>
    <row r="17" spans="1:9">
      <c r="A17" t="s">
        <v>41</v>
      </c>
      <c r="B17" t="s">
        <v>24</v>
      </c>
      <c r="C17" t="s">
        <v>25</v>
      </c>
      <c r="D17">
        <v>4</v>
      </c>
      <c r="E17">
        <v>1</v>
      </c>
    </row>
    <row r="18" spans="1:9">
      <c r="A18" t="s">
        <v>30</v>
      </c>
      <c r="B18" t="s">
        <v>24</v>
      </c>
      <c r="C18" t="s">
        <v>28</v>
      </c>
      <c r="D18">
        <v>2</v>
      </c>
      <c r="E18">
        <v>1</v>
      </c>
      <c r="I18" t="str">
        <f>IF(M6=1,"Akram Ahmed",IF(M6=2,"Tamara Babaian",IF(M6=3,"Jay Coopridge",0)))</f>
        <v>Akram Ahmed</v>
      </c>
    </row>
    <row r="19" spans="1:9">
      <c r="A19" t="s">
        <v>46</v>
      </c>
      <c r="B19" t="s">
        <v>24</v>
      </c>
      <c r="C19" t="s">
        <v>28</v>
      </c>
      <c r="D19">
        <v>2</v>
      </c>
      <c r="E19">
        <v>1</v>
      </c>
    </row>
    <row r="20" spans="1:9">
      <c r="A20" t="s">
        <v>53</v>
      </c>
      <c r="B20" t="s">
        <v>37</v>
      </c>
      <c r="C20" t="s">
        <v>49</v>
      </c>
      <c r="D20">
        <v>6</v>
      </c>
      <c r="E20">
        <v>1</v>
      </c>
    </row>
    <row r="21" spans="1:9">
      <c r="A21" t="s">
        <v>56</v>
      </c>
      <c r="B21" t="s">
        <v>37</v>
      </c>
      <c r="C21" t="s">
        <v>49</v>
      </c>
      <c r="D21">
        <v>6</v>
      </c>
      <c r="E21">
        <v>1</v>
      </c>
    </row>
    <row r="22" spans="1:9">
      <c r="A22" t="s">
        <v>45</v>
      </c>
      <c r="B22" t="s">
        <v>24</v>
      </c>
      <c r="C22" t="s">
        <v>26</v>
      </c>
      <c r="D22">
        <v>1</v>
      </c>
      <c r="E22">
        <v>1</v>
      </c>
    </row>
    <row r="23" spans="1:9">
      <c r="A23" t="s">
        <v>32</v>
      </c>
      <c r="B23" t="s">
        <v>24</v>
      </c>
      <c r="C23" t="s">
        <v>25</v>
      </c>
      <c r="D23">
        <v>4</v>
      </c>
      <c r="E23">
        <v>1</v>
      </c>
    </row>
    <row r="24" spans="1:9">
      <c r="A24" t="s">
        <v>55</v>
      </c>
      <c r="B24" t="s">
        <v>37</v>
      </c>
      <c r="C24" t="s">
        <v>49</v>
      </c>
      <c r="D24">
        <v>6</v>
      </c>
      <c r="E24">
        <v>1</v>
      </c>
    </row>
    <row r="25" spans="1:9">
      <c r="A25" t="s">
        <v>50</v>
      </c>
      <c r="B25" t="s">
        <v>37</v>
      </c>
      <c r="C25" t="s">
        <v>49</v>
      </c>
      <c r="D25">
        <v>6</v>
      </c>
      <c r="E25">
        <v>1</v>
      </c>
    </row>
    <row r="26" spans="1:9">
      <c r="A26" t="s">
        <v>52</v>
      </c>
      <c r="B26" t="s">
        <v>37</v>
      </c>
      <c r="C26" t="s">
        <v>49</v>
      </c>
      <c r="D26">
        <v>6</v>
      </c>
      <c r="E26">
        <v>1</v>
      </c>
    </row>
    <row r="27" spans="1:9">
      <c r="A27" t="s">
        <v>33</v>
      </c>
      <c r="B27" t="s">
        <v>24</v>
      </c>
      <c r="C27" t="s">
        <v>28</v>
      </c>
      <c r="D27">
        <v>2</v>
      </c>
      <c r="E27">
        <v>1</v>
      </c>
    </row>
    <row r="28" spans="1:9">
      <c r="A28" t="s">
        <v>62</v>
      </c>
      <c r="B28" t="s">
        <v>37</v>
      </c>
      <c r="C28" t="s">
        <v>49</v>
      </c>
      <c r="D28">
        <v>6</v>
      </c>
      <c r="E28">
        <v>1</v>
      </c>
    </row>
    <row r="29" spans="1:9">
      <c r="A29" t="s">
        <v>63</v>
      </c>
      <c r="B29" t="s">
        <v>37</v>
      </c>
      <c r="C29" t="s">
        <v>49</v>
      </c>
      <c r="D29">
        <v>6</v>
      </c>
      <c r="E29">
        <v>1</v>
      </c>
    </row>
    <row r="30" spans="1:9">
      <c r="A30" t="s">
        <v>27</v>
      </c>
      <c r="B30" t="s">
        <v>24</v>
      </c>
      <c r="C30" t="s">
        <v>28</v>
      </c>
      <c r="D30">
        <v>2</v>
      </c>
      <c r="E30">
        <v>1</v>
      </c>
    </row>
    <row r="31" spans="1:9">
      <c r="A31" t="s">
        <v>58</v>
      </c>
      <c r="B31" t="s">
        <v>37</v>
      </c>
      <c r="C31" t="s">
        <v>49</v>
      </c>
      <c r="D31">
        <v>6</v>
      </c>
      <c r="E31">
        <v>1</v>
      </c>
    </row>
    <row r="32" spans="1:9">
      <c r="A32" t="s">
        <v>35</v>
      </c>
      <c r="B32" t="s">
        <v>24</v>
      </c>
      <c r="C32" t="s">
        <v>36</v>
      </c>
      <c r="D32">
        <v>3</v>
      </c>
      <c r="E32">
        <v>1</v>
      </c>
    </row>
    <row r="33" spans="1:5">
      <c r="A33" t="s">
        <v>38</v>
      </c>
      <c r="B33" t="s">
        <v>24</v>
      </c>
      <c r="C33" t="s">
        <v>26</v>
      </c>
      <c r="D33">
        <v>1</v>
      </c>
      <c r="E33">
        <v>1</v>
      </c>
    </row>
    <row r="34" spans="1:5">
      <c r="A34" t="s">
        <v>40</v>
      </c>
      <c r="B34" t="s">
        <v>24</v>
      </c>
      <c r="C34" t="s">
        <v>36</v>
      </c>
      <c r="D34">
        <v>3</v>
      </c>
      <c r="E34">
        <v>1</v>
      </c>
    </row>
  </sheetData>
  <sortState ref="A3:E34">
    <sortCondition ref="A3:A34"/>
  </sortState>
  <customSheetViews>
    <customSheetView guid="{9692233C-0F2E-654E-8AC6-8C4CF1DC23E8}">
      <selection activeCell="B2" sqref="B2:E34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B2" sqref="B2:E34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DropDown2">
              <controlPr defaultSize="0" autoLine="0" autoPict="0">
                <anchor moveWithCells="1">
                  <from>
                    <xdr:col>8</xdr:col>
                    <xdr:colOff>146649</xdr:colOff>
                    <xdr:row>14</xdr:row>
                    <xdr:rowOff>0</xdr:rowOff>
                  </from>
                  <to>
                    <xdr:col>10</xdr:col>
                    <xdr:colOff>603849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999"/>
  <sheetViews>
    <sheetView workbookViewId="0">
      <selection activeCell="G2" sqref="G2:H54"/>
    </sheetView>
  </sheetViews>
  <sheetFormatPr defaultColWidth="12.875" defaultRowHeight="14.95" customHeight="1"/>
  <cols>
    <col min="1" max="1" width="17.75" style="5" customWidth="1"/>
    <col min="2" max="2" width="33.75" style="5" customWidth="1"/>
    <col min="3" max="3" width="22.375" style="5" customWidth="1"/>
    <col min="4" max="4" width="18.375" style="5" customWidth="1"/>
    <col min="5" max="5" width="64.875" style="5" customWidth="1"/>
    <col min="6" max="6" width="38.125" style="5" customWidth="1"/>
    <col min="7" max="7" width="7.375" style="5" customWidth="1"/>
    <col min="8" max="8" width="26.25" style="5" customWidth="1"/>
    <col min="9" max="9" width="27.375" style="5" customWidth="1"/>
    <col min="10" max="10" width="21.875" style="5" customWidth="1"/>
    <col min="11" max="11" width="28.125" style="5" customWidth="1"/>
    <col min="12" max="12" width="23.125" style="5" customWidth="1"/>
    <col min="13" max="26" width="12" style="5" customWidth="1"/>
    <col min="27" max="16384" width="12.875" style="5"/>
  </cols>
  <sheetData>
    <row r="1" spans="1:12" ht="15.8" customHeight="1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I1" s="2" t="s">
        <v>73</v>
      </c>
      <c r="J1" s="2" t="s">
        <v>74</v>
      </c>
      <c r="K1" s="3" t="s">
        <v>75</v>
      </c>
      <c r="L1" s="4" t="s">
        <v>20</v>
      </c>
    </row>
    <row r="2" spans="1:12" ht="15.8" customHeight="1">
      <c r="A2" s="6">
        <v>10822</v>
      </c>
      <c r="B2" s="6" t="s">
        <v>76</v>
      </c>
      <c r="C2" s="7">
        <v>100</v>
      </c>
      <c r="D2" s="7">
        <v>2</v>
      </c>
      <c r="E2" s="6" t="s">
        <v>77</v>
      </c>
      <c r="F2" s="6" t="s">
        <v>78</v>
      </c>
      <c r="G2" s="6" t="s">
        <v>79</v>
      </c>
      <c r="H2" s="6" t="s">
        <v>15</v>
      </c>
      <c r="I2" s="6" t="s">
        <v>80</v>
      </c>
      <c r="J2" s="6" t="s">
        <v>81</v>
      </c>
      <c r="K2" s="6" t="s">
        <v>82</v>
      </c>
      <c r="L2" s="8" t="s">
        <v>28</v>
      </c>
    </row>
    <row r="3" spans="1:12" ht="15.8" customHeight="1">
      <c r="A3" s="6">
        <v>10079</v>
      </c>
      <c r="B3" s="6" t="s">
        <v>132</v>
      </c>
      <c r="C3" s="10" t="s">
        <v>188</v>
      </c>
      <c r="D3" s="7" t="s">
        <v>123</v>
      </c>
      <c r="E3" s="6" t="s">
        <v>133</v>
      </c>
      <c r="F3" s="6" t="s">
        <v>189</v>
      </c>
      <c r="G3" s="6" t="s">
        <v>79</v>
      </c>
      <c r="H3" s="6" t="s">
        <v>190</v>
      </c>
      <c r="I3" s="6" t="s">
        <v>179</v>
      </c>
      <c r="J3" s="6" t="s">
        <v>191</v>
      </c>
      <c r="K3" s="6" t="s">
        <v>93</v>
      </c>
      <c r="L3" s="8" t="s">
        <v>49</v>
      </c>
    </row>
    <row r="4" spans="1:12" ht="15.8" customHeight="1">
      <c r="A4" s="6">
        <v>10823</v>
      </c>
      <c r="B4" s="6" t="s">
        <v>76</v>
      </c>
      <c r="C4" s="7">
        <v>200</v>
      </c>
      <c r="D4" s="7">
        <v>2</v>
      </c>
      <c r="E4" s="6" t="s">
        <v>77</v>
      </c>
      <c r="F4" s="6" t="s">
        <v>78</v>
      </c>
      <c r="G4" s="6" t="s">
        <v>79</v>
      </c>
      <c r="H4" s="6" t="s">
        <v>16</v>
      </c>
      <c r="I4" s="6" t="s">
        <v>80</v>
      </c>
      <c r="J4" s="6" t="s">
        <v>81</v>
      </c>
      <c r="K4" s="6" t="s">
        <v>82</v>
      </c>
      <c r="L4" s="8" t="s">
        <v>28</v>
      </c>
    </row>
    <row r="5" spans="1:12" ht="15.8" customHeight="1">
      <c r="A5" s="6">
        <v>10062</v>
      </c>
      <c r="B5" s="6" t="s">
        <v>130</v>
      </c>
      <c r="C5" s="10">
        <v>2</v>
      </c>
      <c r="D5" s="7" t="s">
        <v>123</v>
      </c>
      <c r="E5" s="6" t="s">
        <v>131</v>
      </c>
      <c r="F5" s="6" t="s">
        <v>125</v>
      </c>
      <c r="G5" s="6" t="s">
        <v>126</v>
      </c>
      <c r="H5" s="6" t="s">
        <v>127</v>
      </c>
      <c r="I5" s="6" t="s">
        <v>99</v>
      </c>
      <c r="J5" s="6" t="s">
        <v>115</v>
      </c>
      <c r="K5" s="6" t="s">
        <v>82</v>
      </c>
      <c r="L5" s="8" t="s">
        <v>25</v>
      </c>
    </row>
    <row r="6" spans="1:12" ht="15.8" customHeight="1">
      <c r="A6" s="6">
        <v>10953</v>
      </c>
      <c r="B6" s="6" t="s">
        <v>122</v>
      </c>
      <c r="C6" s="10">
        <v>8</v>
      </c>
      <c r="D6" s="7" t="s">
        <v>123</v>
      </c>
      <c r="E6" s="6" t="s">
        <v>124</v>
      </c>
      <c r="F6" s="6" t="s">
        <v>125</v>
      </c>
      <c r="G6" s="6" t="s">
        <v>126</v>
      </c>
      <c r="H6" s="6" t="s">
        <v>127</v>
      </c>
      <c r="I6" s="6" t="s">
        <v>108</v>
      </c>
      <c r="J6" s="6" t="s">
        <v>128</v>
      </c>
      <c r="K6" s="11" t="s">
        <v>129</v>
      </c>
      <c r="L6" s="8" t="s">
        <v>49</v>
      </c>
    </row>
    <row r="7" spans="1:12" ht="15.8" customHeight="1">
      <c r="A7" s="6">
        <v>10075</v>
      </c>
      <c r="B7" s="6" t="s">
        <v>132</v>
      </c>
      <c r="C7" s="10">
        <v>7</v>
      </c>
      <c r="D7" s="7" t="s">
        <v>123</v>
      </c>
      <c r="E7" s="6" t="s">
        <v>133</v>
      </c>
      <c r="F7" s="6" t="s">
        <v>125</v>
      </c>
      <c r="G7" s="6" t="s">
        <v>126</v>
      </c>
      <c r="H7" s="6" t="s">
        <v>127</v>
      </c>
      <c r="I7" s="6" t="s">
        <v>102</v>
      </c>
      <c r="J7" s="6" t="s">
        <v>134</v>
      </c>
      <c r="K7" s="6" t="s">
        <v>82</v>
      </c>
      <c r="L7" s="8" t="s">
        <v>25</v>
      </c>
    </row>
    <row r="8" spans="1:12" ht="15.8" customHeight="1">
      <c r="A8" s="6">
        <v>10046</v>
      </c>
      <c r="B8" s="6" t="s">
        <v>122</v>
      </c>
      <c r="C8" s="10">
        <v>3</v>
      </c>
      <c r="D8" s="7" t="s">
        <v>123</v>
      </c>
      <c r="E8" s="6" t="s">
        <v>135</v>
      </c>
      <c r="F8" s="6" t="s">
        <v>125</v>
      </c>
      <c r="G8" s="6" t="s">
        <v>126</v>
      </c>
      <c r="H8" s="6" t="s">
        <v>136</v>
      </c>
      <c r="I8" s="6" t="s">
        <v>137</v>
      </c>
      <c r="J8" s="6" t="s">
        <v>115</v>
      </c>
      <c r="K8" s="6" t="s">
        <v>82</v>
      </c>
      <c r="L8" s="8" t="s">
        <v>25</v>
      </c>
    </row>
    <row r="9" spans="1:12" ht="15.8" customHeight="1">
      <c r="A9" s="6">
        <v>10055</v>
      </c>
      <c r="B9" s="6" t="s">
        <v>138</v>
      </c>
      <c r="C9" s="10">
        <v>1</v>
      </c>
      <c r="D9" s="7" t="s">
        <v>123</v>
      </c>
      <c r="E9" s="6" t="s">
        <v>139</v>
      </c>
      <c r="F9" s="6" t="s">
        <v>125</v>
      </c>
      <c r="G9" s="6" t="s">
        <v>126</v>
      </c>
      <c r="H9" s="6" t="s">
        <v>136</v>
      </c>
      <c r="I9" s="6" t="s">
        <v>99</v>
      </c>
      <c r="J9" s="6" t="s">
        <v>140</v>
      </c>
      <c r="K9" s="6" t="s">
        <v>82</v>
      </c>
      <c r="L9" s="8" t="s">
        <v>34</v>
      </c>
    </row>
    <row r="10" spans="1:12" ht="15.8" customHeight="1">
      <c r="A10" s="6">
        <v>10081</v>
      </c>
      <c r="B10" s="6" t="s">
        <v>132</v>
      </c>
      <c r="C10" s="10" t="s">
        <v>141</v>
      </c>
      <c r="D10" s="7" t="s">
        <v>123</v>
      </c>
      <c r="E10" s="6" t="s">
        <v>133</v>
      </c>
      <c r="F10" s="6" t="s">
        <v>125</v>
      </c>
      <c r="G10" s="6" t="s">
        <v>126</v>
      </c>
      <c r="H10" s="6" t="s">
        <v>136</v>
      </c>
      <c r="I10" s="6" t="s">
        <v>102</v>
      </c>
      <c r="J10" s="6" t="s">
        <v>134</v>
      </c>
      <c r="K10" s="6" t="s">
        <v>82</v>
      </c>
      <c r="L10" s="8" t="s">
        <v>25</v>
      </c>
    </row>
    <row r="11" spans="1:12" ht="15.8" customHeight="1">
      <c r="A11" s="6">
        <v>10952</v>
      </c>
      <c r="B11" s="6" t="s">
        <v>122</v>
      </c>
      <c r="C11" s="10">
        <v>7</v>
      </c>
      <c r="D11" s="7" t="s">
        <v>123</v>
      </c>
      <c r="E11" s="6" t="s">
        <v>124</v>
      </c>
      <c r="F11" s="6" t="s">
        <v>125</v>
      </c>
      <c r="G11" s="6" t="s">
        <v>126</v>
      </c>
      <c r="H11" s="6" t="s">
        <v>142</v>
      </c>
      <c r="I11" s="6" t="s">
        <v>108</v>
      </c>
      <c r="J11" s="6" t="s">
        <v>128</v>
      </c>
      <c r="K11" s="11" t="s">
        <v>129</v>
      </c>
      <c r="L11" s="8" t="s">
        <v>49</v>
      </c>
    </row>
    <row r="12" spans="1:12" ht="15.8" customHeight="1">
      <c r="A12" s="6">
        <v>10058</v>
      </c>
      <c r="B12" s="6" t="s">
        <v>143</v>
      </c>
      <c r="C12" s="10">
        <v>1</v>
      </c>
      <c r="D12" s="7" t="s">
        <v>123</v>
      </c>
      <c r="E12" s="6" t="s">
        <v>144</v>
      </c>
      <c r="F12" s="6" t="s">
        <v>125</v>
      </c>
      <c r="G12" s="6" t="s">
        <v>126</v>
      </c>
      <c r="H12" s="6" t="s">
        <v>142</v>
      </c>
      <c r="I12" s="6" t="s">
        <v>145</v>
      </c>
      <c r="J12" s="6" t="s">
        <v>121</v>
      </c>
      <c r="K12" s="6" t="s">
        <v>82</v>
      </c>
      <c r="L12" s="8" t="s">
        <v>28</v>
      </c>
    </row>
    <row r="13" spans="1:12" ht="15.8" customHeight="1">
      <c r="A13" s="6">
        <v>10057</v>
      </c>
      <c r="B13" s="6" t="s">
        <v>138</v>
      </c>
      <c r="C13" s="10">
        <v>3</v>
      </c>
      <c r="D13" s="7" t="s">
        <v>123</v>
      </c>
      <c r="E13" s="6" t="s">
        <v>139</v>
      </c>
      <c r="F13" s="6" t="s">
        <v>125</v>
      </c>
      <c r="G13" s="6" t="s">
        <v>126</v>
      </c>
      <c r="H13" s="6" t="s">
        <v>142</v>
      </c>
      <c r="I13" s="6" t="s">
        <v>99</v>
      </c>
      <c r="J13" s="6" t="s">
        <v>140</v>
      </c>
      <c r="K13" s="6" t="s">
        <v>82</v>
      </c>
      <c r="L13" s="8" t="s">
        <v>34</v>
      </c>
    </row>
    <row r="14" spans="1:12" ht="15.8" customHeight="1">
      <c r="A14" s="6">
        <v>10936</v>
      </c>
      <c r="B14" s="6" t="s">
        <v>149</v>
      </c>
      <c r="C14" s="10">
        <v>2</v>
      </c>
      <c r="D14" s="7" t="s">
        <v>123</v>
      </c>
      <c r="E14" s="6" t="s">
        <v>150</v>
      </c>
      <c r="F14" s="6" t="s">
        <v>125</v>
      </c>
      <c r="G14" s="6" t="s">
        <v>147</v>
      </c>
      <c r="H14" s="6" t="s">
        <v>148</v>
      </c>
      <c r="I14" s="6" t="s">
        <v>99</v>
      </c>
      <c r="J14" s="6" t="s">
        <v>151</v>
      </c>
      <c r="K14" s="6" t="s">
        <v>82</v>
      </c>
      <c r="L14" s="8" t="s">
        <v>25</v>
      </c>
    </row>
    <row r="15" spans="1:12" ht="15.8" customHeight="1">
      <c r="A15" s="6">
        <v>10076</v>
      </c>
      <c r="B15" s="6" t="s">
        <v>152</v>
      </c>
      <c r="C15" s="10">
        <v>8</v>
      </c>
      <c r="D15" s="7" t="s">
        <v>123</v>
      </c>
      <c r="E15" s="6" t="s">
        <v>133</v>
      </c>
      <c r="F15" s="6" t="s">
        <v>125</v>
      </c>
      <c r="G15" s="6" t="s">
        <v>147</v>
      </c>
      <c r="H15" s="6" t="s">
        <v>148</v>
      </c>
      <c r="I15" s="6" t="s">
        <v>120</v>
      </c>
      <c r="J15" s="6" t="s">
        <v>153</v>
      </c>
      <c r="K15" s="6" t="s">
        <v>93</v>
      </c>
      <c r="L15" s="8" t="s">
        <v>49</v>
      </c>
    </row>
    <row r="16" spans="1:12" ht="15.8" customHeight="1">
      <c r="A16" s="6">
        <v>10048</v>
      </c>
      <c r="B16" s="6" t="s">
        <v>146</v>
      </c>
      <c r="C16" s="10">
        <v>5</v>
      </c>
      <c r="D16" s="7" t="s">
        <v>123</v>
      </c>
      <c r="E16" s="6" t="s">
        <v>135</v>
      </c>
      <c r="F16" s="6" t="s">
        <v>125</v>
      </c>
      <c r="G16" s="6" t="s">
        <v>147</v>
      </c>
      <c r="H16" s="6" t="s">
        <v>148</v>
      </c>
      <c r="I16" s="6" t="s">
        <v>108</v>
      </c>
      <c r="J16" s="6" t="s">
        <v>106</v>
      </c>
      <c r="K16" s="6" t="s">
        <v>82</v>
      </c>
      <c r="L16" s="8" t="s">
        <v>25</v>
      </c>
    </row>
    <row r="17" spans="1:12" ht="15.8" customHeight="1">
      <c r="A17" s="6">
        <v>10082</v>
      </c>
      <c r="B17" s="6" t="s">
        <v>132</v>
      </c>
      <c r="C17" s="10" t="s">
        <v>154</v>
      </c>
      <c r="D17" s="7" t="s">
        <v>123</v>
      </c>
      <c r="E17" s="6" t="s">
        <v>133</v>
      </c>
      <c r="F17" s="6" t="s">
        <v>125</v>
      </c>
      <c r="G17" s="6" t="s">
        <v>147</v>
      </c>
      <c r="H17" s="6" t="s">
        <v>148</v>
      </c>
      <c r="I17" s="6" t="s">
        <v>102</v>
      </c>
      <c r="J17" s="6" t="s">
        <v>134</v>
      </c>
      <c r="K17" s="6" t="s">
        <v>82</v>
      </c>
      <c r="L17" s="8" t="s">
        <v>25</v>
      </c>
    </row>
    <row r="18" spans="1:12" ht="15.8" customHeight="1">
      <c r="A18" s="6">
        <v>10078</v>
      </c>
      <c r="B18" s="6" t="s">
        <v>132</v>
      </c>
      <c r="C18" s="10">
        <v>10</v>
      </c>
      <c r="D18" s="7" t="s">
        <v>123</v>
      </c>
      <c r="E18" s="6" t="s">
        <v>133</v>
      </c>
      <c r="F18" s="6" t="s">
        <v>125</v>
      </c>
      <c r="G18" s="6" t="s">
        <v>147</v>
      </c>
      <c r="H18" s="6" t="s">
        <v>155</v>
      </c>
      <c r="I18" s="6" t="s">
        <v>157</v>
      </c>
      <c r="J18" s="6" t="s">
        <v>158</v>
      </c>
      <c r="K18" s="11" t="s">
        <v>93</v>
      </c>
      <c r="L18" s="8" t="s">
        <v>49</v>
      </c>
    </row>
    <row r="19" spans="1:12" ht="15.8" customHeight="1">
      <c r="A19" s="6">
        <v>10937</v>
      </c>
      <c r="B19" s="6" t="s">
        <v>149</v>
      </c>
      <c r="C19" s="10">
        <v>3</v>
      </c>
      <c r="D19" s="7" t="s">
        <v>123</v>
      </c>
      <c r="E19" s="6" t="s">
        <v>150</v>
      </c>
      <c r="F19" s="6" t="s">
        <v>125</v>
      </c>
      <c r="G19" s="6" t="s">
        <v>147</v>
      </c>
      <c r="H19" s="6" t="s">
        <v>155</v>
      </c>
      <c r="I19" s="6" t="s">
        <v>156</v>
      </c>
      <c r="J19" s="6" t="s">
        <v>151</v>
      </c>
      <c r="K19" s="6" t="s">
        <v>82</v>
      </c>
      <c r="L19" s="8" t="s">
        <v>25</v>
      </c>
    </row>
    <row r="20" spans="1:12" ht="15.8" customHeight="1">
      <c r="A20" s="6">
        <v>10069</v>
      </c>
      <c r="B20" s="6" t="s">
        <v>132</v>
      </c>
      <c r="C20" s="10">
        <v>1</v>
      </c>
      <c r="D20" s="7" t="s">
        <v>123</v>
      </c>
      <c r="E20" s="6" t="s">
        <v>133</v>
      </c>
      <c r="F20" s="6" t="s">
        <v>125</v>
      </c>
      <c r="G20" s="6" t="s">
        <v>147</v>
      </c>
      <c r="H20" s="6" t="s">
        <v>159</v>
      </c>
      <c r="I20" s="6" t="s">
        <v>91</v>
      </c>
      <c r="J20" s="6" t="s">
        <v>160</v>
      </c>
      <c r="K20" s="6" t="s">
        <v>93</v>
      </c>
      <c r="L20" s="8" t="s">
        <v>49</v>
      </c>
    </row>
    <row r="21" spans="1:12" ht="15.8" customHeight="1">
      <c r="A21" s="6">
        <v>10044</v>
      </c>
      <c r="B21" s="6" t="s">
        <v>146</v>
      </c>
      <c r="C21" s="10">
        <v>1</v>
      </c>
      <c r="D21" s="7" t="s">
        <v>123</v>
      </c>
      <c r="E21" s="6" t="s">
        <v>135</v>
      </c>
      <c r="F21" s="6" t="s">
        <v>125</v>
      </c>
      <c r="G21" s="6" t="s">
        <v>147</v>
      </c>
      <c r="H21" s="6" t="s">
        <v>161</v>
      </c>
      <c r="I21" s="6" t="s">
        <v>137</v>
      </c>
      <c r="J21" s="6" t="s">
        <v>115</v>
      </c>
      <c r="K21" s="6" t="s">
        <v>82</v>
      </c>
      <c r="L21" s="8" t="s">
        <v>25</v>
      </c>
    </row>
    <row r="22" spans="1:12" ht="15.8" customHeight="1">
      <c r="A22" s="6">
        <v>10071</v>
      </c>
      <c r="B22" s="6" t="s">
        <v>132</v>
      </c>
      <c r="C22" s="10">
        <v>3</v>
      </c>
      <c r="D22" s="7" t="s">
        <v>123</v>
      </c>
      <c r="E22" s="6" t="s">
        <v>133</v>
      </c>
      <c r="F22" s="6" t="s">
        <v>125</v>
      </c>
      <c r="G22" s="6" t="s">
        <v>147</v>
      </c>
      <c r="H22" s="6" t="s">
        <v>161</v>
      </c>
      <c r="I22" s="6" t="s">
        <v>157</v>
      </c>
      <c r="J22" s="6" t="s">
        <v>162</v>
      </c>
      <c r="K22" s="11" t="s">
        <v>93</v>
      </c>
      <c r="L22" s="8" t="s">
        <v>49</v>
      </c>
    </row>
    <row r="23" spans="1:12" ht="15.8" customHeight="1">
      <c r="A23" s="6">
        <v>10080</v>
      </c>
      <c r="B23" s="6" t="s">
        <v>132</v>
      </c>
      <c r="C23" s="10" t="s">
        <v>163</v>
      </c>
      <c r="D23" s="7" t="s">
        <v>123</v>
      </c>
      <c r="E23" s="6" t="s">
        <v>164</v>
      </c>
      <c r="F23" s="6" t="s">
        <v>125</v>
      </c>
      <c r="G23" s="6" t="s">
        <v>147</v>
      </c>
      <c r="H23" s="6" t="s">
        <v>161</v>
      </c>
      <c r="I23" s="6" t="s">
        <v>99</v>
      </c>
      <c r="J23" s="6" t="s">
        <v>151</v>
      </c>
      <c r="K23" s="6" t="s">
        <v>82</v>
      </c>
      <c r="L23" s="8" t="s">
        <v>25</v>
      </c>
    </row>
    <row r="24" spans="1:12" ht="15.8" customHeight="1">
      <c r="A24" s="6">
        <v>10827</v>
      </c>
      <c r="B24" s="6" t="s">
        <v>83</v>
      </c>
      <c r="C24" s="7" t="s">
        <v>84</v>
      </c>
      <c r="D24" s="7">
        <v>2</v>
      </c>
      <c r="E24" s="6" t="s">
        <v>85</v>
      </c>
      <c r="F24" s="6" t="s">
        <v>78</v>
      </c>
      <c r="G24" s="6" t="s">
        <v>86</v>
      </c>
      <c r="H24" s="6" t="s">
        <v>15</v>
      </c>
      <c r="I24" s="6" t="s">
        <v>87</v>
      </c>
      <c r="J24" s="6" t="s">
        <v>88</v>
      </c>
      <c r="K24" s="6" t="s">
        <v>82</v>
      </c>
      <c r="L24" s="8" t="s">
        <v>26</v>
      </c>
    </row>
    <row r="25" spans="1:12" ht="15.8" customHeight="1">
      <c r="A25" s="6">
        <v>10054</v>
      </c>
      <c r="B25" s="6" t="s">
        <v>168</v>
      </c>
      <c r="C25" s="10" t="s">
        <v>188</v>
      </c>
      <c r="D25" s="7" t="s">
        <v>193</v>
      </c>
      <c r="E25" s="6" t="s">
        <v>169</v>
      </c>
      <c r="F25" s="6" t="s">
        <v>189</v>
      </c>
      <c r="G25" s="6" t="s">
        <v>86</v>
      </c>
      <c r="H25" s="6" t="s">
        <v>190</v>
      </c>
      <c r="I25" s="6" t="s">
        <v>137</v>
      </c>
      <c r="J25" s="6" t="s">
        <v>195</v>
      </c>
      <c r="K25" s="6" t="s">
        <v>93</v>
      </c>
      <c r="L25" s="8" t="s">
        <v>49</v>
      </c>
    </row>
    <row r="26" spans="1:12" ht="15.8" customHeight="1">
      <c r="A26" s="6">
        <v>10051</v>
      </c>
      <c r="B26" s="6" t="s">
        <v>122</v>
      </c>
      <c r="C26" s="10" t="s">
        <v>192</v>
      </c>
      <c r="D26" s="7" t="s">
        <v>193</v>
      </c>
      <c r="E26" s="6" t="s">
        <v>135</v>
      </c>
      <c r="F26" s="6" t="s">
        <v>189</v>
      </c>
      <c r="G26" s="6" t="s">
        <v>86</v>
      </c>
      <c r="H26" s="6" t="s">
        <v>190</v>
      </c>
      <c r="I26" s="6" t="s">
        <v>157</v>
      </c>
      <c r="J26" s="6" t="s">
        <v>194</v>
      </c>
      <c r="K26" s="6" t="s">
        <v>93</v>
      </c>
      <c r="L26" s="8" t="s">
        <v>49</v>
      </c>
    </row>
    <row r="27" spans="1:12" ht="15.8" customHeight="1">
      <c r="A27" s="17" t="s">
        <v>201</v>
      </c>
      <c r="B27" s="6" t="s">
        <v>116</v>
      </c>
      <c r="C27" s="7" t="s">
        <v>117</v>
      </c>
      <c r="D27" s="7">
        <v>2</v>
      </c>
      <c r="E27" s="6" t="s">
        <v>118</v>
      </c>
      <c r="F27" s="6" t="s">
        <v>119</v>
      </c>
      <c r="G27" s="6" t="s">
        <v>86</v>
      </c>
      <c r="H27" s="6" t="s">
        <v>16</v>
      </c>
      <c r="I27" s="6" t="s">
        <v>120</v>
      </c>
      <c r="J27" s="6" t="s">
        <v>121</v>
      </c>
      <c r="K27" s="6" t="s">
        <v>82</v>
      </c>
      <c r="L27" s="8" t="s">
        <v>28</v>
      </c>
    </row>
    <row r="28" spans="1:12" ht="15.8" customHeight="1">
      <c r="A28" s="6">
        <v>10821</v>
      </c>
      <c r="B28" s="6" t="s">
        <v>89</v>
      </c>
      <c r="C28" s="7">
        <v>200</v>
      </c>
      <c r="D28" s="7">
        <v>2</v>
      </c>
      <c r="E28" s="6" t="s">
        <v>90</v>
      </c>
      <c r="F28" s="6" t="s">
        <v>78</v>
      </c>
      <c r="G28" s="6" t="s">
        <v>86</v>
      </c>
      <c r="H28" s="6" t="s">
        <v>16</v>
      </c>
      <c r="I28" s="6" t="s">
        <v>91</v>
      </c>
      <c r="J28" s="6" t="s">
        <v>92</v>
      </c>
      <c r="K28" s="6" t="s">
        <v>93</v>
      </c>
      <c r="L28" s="8" t="s">
        <v>49</v>
      </c>
    </row>
    <row r="29" spans="1:12" ht="15.8" customHeight="1">
      <c r="A29" s="6">
        <v>10061</v>
      </c>
      <c r="B29" s="6" t="s">
        <v>165</v>
      </c>
      <c r="C29" s="10">
        <v>1</v>
      </c>
      <c r="D29" s="7" t="s">
        <v>123</v>
      </c>
      <c r="E29" s="6" t="s">
        <v>131</v>
      </c>
      <c r="F29" s="6" t="s">
        <v>125</v>
      </c>
      <c r="G29" s="6" t="s">
        <v>86</v>
      </c>
      <c r="H29" s="6" t="s">
        <v>166</v>
      </c>
      <c r="I29" s="6" t="s">
        <v>99</v>
      </c>
      <c r="J29" s="6" t="s">
        <v>115</v>
      </c>
      <c r="K29" s="6" t="s">
        <v>82</v>
      </c>
      <c r="L29" s="8" t="s">
        <v>25</v>
      </c>
    </row>
    <row r="30" spans="1:12" ht="15.8" customHeight="1">
      <c r="A30" s="6">
        <v>10826</v>
      </c>
      <c r="B30" s="6" t="s">
        <v>94</v>
      </c>
      <c r="C30" s="7">
        <v>100</v>
      </c>
      <c r="D30" s="7">
        <v>2</v>
      </c>
      <c r="E30" s="6" t="s">
        <v>95</v>
      </c>
      <c r="F30" s="6" t="s">
        <v>78</v>
      </c>
      <c r="G30" s="6" t="s">
        <v>96</v>
      </c>
      <c r="H30" s="6" t="s">
        <v>15</v>
      </c>
      <c r="I30" s="6" t="s">
        <v>91</v>
      </c>
      <c r="J30" s="6" t="s">
        <v>88</v>
      </c>
      <c r="K30" s="6" t="s">
        <v>82</v>
      </c>
      <c r="L30" s="8" t="s">
        <v>26</v>
      </c>
    </row>
    <row r="31" spans="1:12" ht="15.8" customHeight="1">
      <c r="A31" s="6">
        <v>10050</v>
      </c>
      <c r="B31" s="6" t="s">
        <v>122</v>
      </c>
      <c r="C31" s="10" t="s">
        <v>188</v>
      </c>
      <c r="D31" s="7" t="s">
        <v>193</v>
      </c>
      <c r="E31" s="6" t="s">
        <v>135</v>
      </c>
      <c r="F31" s="6" t="s">
        <v>189</v>
      </c>
      <c r="G31" s="6" t="s">
        <v>96</v>
      </c>
      <c r="H31" s="6" t="s">
        <v>190</v>
      </c>
      <c r="I31" s="6" t="s">
        <v>102</v>
      </c>
      <c r="J31" s="6" t="s">
        <v>196</v>
      </c>
      <c r="K31" s="6" t="s">
        <v>93</v>
      </c>
      <c r="L31" s="8" t="s">
        <v>49</v>
      </c>
    </row>
    <row r="32" spans="1:12" ht="15.8" customHeight="1">
      <c r="A32" s="6">
        <v>10063</v>
      </c>
      <c r="B32" s="6" t="s">
        <v>165</v>
      </c>
      <c r="C32" s="10" t="s">
        <v>188</v>
      </c>
      <c r="D32" s="7" t="s">
        <v>193</v>
      </c>
      <c r="E32" s="6" t="s">
        <v>131</v>
      </c>
      <c r="F32" s="6" t="s">
        <v>189</v>
      </c>
      <c r="G32" s="6" t="s">
        <v>96</v>
      </c>
      <c r="H32" s="6" t="s">
        <v>190</v>
      </c>
      <c r="I32" s="6" t="s">
        <v>197</v>
      </c>
      <c r="J32" s="6" t="s">
        <v>178</v>
      </c>
      <c r="K32" s="6" t="s">
        <v>82</v>
      </c>
      <c r="L32" s="8" t="s">
        <v>28</v>
      </c>
    </row>
    <row r="33" spans="1:12" ht="15.8" customHeight="1">
      <c r="A33" s="6">
        <v>10828</v>
      </c>
      <c r="B33" s="6" t="s">
        <v>97</v>
      </c>
      <c r="C33" s="7" t="s">
        <v>84</v>
      </c>
      <c r="D33" s="7">
        <v>2</v>
      </c>
      <c r="E33" s="6" t="s">
        <v>98</v>
      </c>
      <c r="F33" s="6" t="s">
        <v>78</v>
      </c>
      <c r="G33" s="6" t="s">
        <v>96</v>
      </c>
      <c r="H33" s="6" t="s">
        <v>16</v>
      </c>
      <c r="I33" s="6" t="s">
        <v>99</v>
      </c>
      <c r="J33" s="6" t="s">
        <v>100</v>
      </c>
      <c r="K33" s="6" t="s">
        <v>82</v>
      </c>
      <c r="L33" s="8" t="s">
        <v>26</v>
      </c>
    </row>
    <row r="34" spans="1:12" ht="15.8" customHeight="1">
      <c r="A34" s="6">
        <v>10072</v>
      </c>
      <c r="B34" s="6" t="s">
        <v>132</v>
      </c>
      <c r="C34" s="10">
        <v>4</v>
      </c>
      <c r="D34" s="7" t="s">
        <v>123</v>
      </c>
      <c r="E34" s="6" t="s">
        <v>133</v>
      </c>
      <c r="F34" s="6" t="s">
        <v>125</v>
      </c>
      <c r="G34" s="6" t="s">
        <v>167</v>
      </c>
      <c r="H34" s="6" t="s">
        <v>161</v>
      </c>
      <c r="I34" s="6" t="s">
        <v>157</v>
      </c>
      <c r="J34" s="6" t="s">
        <v>153</v>
      </c>
      <c r="K34" s="6" t="s">
        <v>93</v>
      </c>
      <c r="L34" s="8" t="s">
        <v>49</v>
      </c>
    </row>
    <row r="35" spans="1:12" ht="15.8" customHeight="1">
      <c r="A35" s="6">
        <v>10045</v>
      </c>
      <c r="B35" s="6" t="s">
        <v>146</v>
      </c>
      <c r="C35" s="10">
        <v>2</v>
      </c>
      <c r="D35" s="7" t="s">
        <v>123</v>
      </c>
      <c r="E35" s="6" t="s">
        <v>135</v>
      </c>
      <c r="F35" s="6" t="s">
        <v>125</v>
      </c>
      <c r="G35" s="6" t="s">
        <v>167</v>
      </c>
      <c r="H35" s="6" t="s">
        <v>161</v>
      </c>
      <c r="I35" s="6" t="s">
        <v>99</v>
      </c>
      <c r="J35" s="6" t="s">
        <v>140</v>
      </c>
      <c r="K35" s="6" t="s">
        <v>82</v>
      </c>
      <c r="L35" s="8" t="s">
        <v>34</v>
      </c>
    </row>
    <row r="36" spans="1:12" ht="15.8" customHeight="1">
      <c r="A36" s="6">
        <v>10052</v>
      </c>
      <c r="B36" s="6" t="s">
        <v>168</v>
      </c>
      <c r="C36" s="10">
        <v>1</v>
      </c>
      <c r="D36" s="7" t="s">
        <v>123</v>
      </c>
      <c r="E36" s="6" t="s">
        <v>169</v>
      </c>
      <c r="F36" s="6" t="s">
        <v>125</v>
      </c>
      <c r="G36" s="6" t="s">
        <v>167</v>
      </c>
      <c r="H36" s="6" t="s">
        <v>161</v>
      </c>
      <c r="I36" s="6" t="s">
        <v>91</v>
      </c>
      <c r="J36" s="6" t="s">
        <v>170</v>
      </c>
      <c r="K36" s="6" t="s">
        <v>82</v>
      </c>
      <c r="L36" s="8" t="s">
        <v>28</v>
      </c>
    </row>
    <row r="37" spans="1:12" ht="15.8" customHeight="1">
      <c r="A37" s="6">
        <v>10067</v>
      </c>
      <c r="B37" s="6" t="s">
        <v>171</v>
      </c>
      <c r="C37" s="10">
        <v>1</v>
      </c>
      <c r="D37" s="7" t="s">
        <v>123</v>
      </c>
      <c r="E37" s="6" t="s">
        <v>172</v>
      </c>
      <c r="F37" s="6" t="s">
        <v>125</v>
      </c>
      <c r="G37" s="6" t="s">
        <v>167</v>
      </c>
      <c r="H37" s="6" t="s">
        <v>161</v>
      </c>
      <c r="I37" s="6" t="s">
        <v>102</v>
      </c>
      <c r="J37" s="6" t="s">
        <v>173</v>
      </c>
      <c r="K37" s="6" t="s">
        <v>82</v>
      </c>
      <c r="L37" s="8" t="s">
        <v>28</v>
      </c>
    </row>
    <row r="38" spans="1:12" ht="15.8" customHeight="1">
      <c r="A38" s="6">
        <v>10056</v>
      </c>
      <c r="B38" s="6" t="s">
        <v>138</v>
      </c>
      <c r="C38" s="10">
        <v>2</v>
      </c>
      <c r="D38" s="7" t="s">
        <v>123</v>
      </c>
      <c r="E38" s="6" t="s">
        <v>139</v>
      </c>
      <c r="F38" s="6" t="s">
        <v>125</v>
      </c>
      <c r="G38" s="6" t="s">
        <v>167</v>
      </c>
      <c r="H38" s="6" t="s">
        <v>136</v>
      </c>
      <c r="I38" s="6" t="s">
        <v>99</v>
      </c>
      <c r="J38" s="6" t="s">
        <v>140</v>
      </c>
      <c r="K38" s="6" t="s">
        <v>82</v>
      </c>
      <c r="L38" s="8" t="s">
        <v>34</v>
      </c>
    </row>
    <row r="39" spans="1:12" ht="15.8" customHeight="1">
      <c r="A39" s="6">
        <v>10053</v>
      </c>
      <c r="B39" s="6" t="s">
        <v>168</v>
      </c>
      <c r="C39" s="10">
        <v>2</v>
      </c>
      <c r="D39" s="7" t="s">
        <v>123</v>
      </c>
      <c r="E39" s="6" t="s">
        <v>169</v>
      </c>
      <c r="F39" s="6" t="s">
        <v>125</v>
      </c>
      <c r="G39" s="6" t="s">
        <v>167</v>
      </c>
      <c r="H39" s="6" t="s">
        <v>136</v>
      </c>
      <c r="I39" s="6" t="s">
        <v>91</v>
      </c>
      <c r="J39" s="6" t="s">
        <v>170</v>
      </c>
      <c r="K39" s="6" t="s">
        <v>82</v>
      </c>
      <c r="L39" s="8" t="s">
        <v>28</v>
      </c>
    </row>
    <row r="40" spans="1:12" ht="15.8" customHeight="1">
      <c r="A40" s="6">
        <v>10073</v>
      </c>
      <c r="B40" s="6" t="s">
        <v>132</v>
      </c>
      <c r="C40" s="10">
        <v>5</v>
      </c>
      <c r="D40" s="7" t="s">
        <v>123</v>
      </c>
      <c r="E40" s="6" t="s">
        <v>133</v>
      </c>
      <c r="F40" s="6" t="s">
        <v>125</v>
      </c>
      <c r="G40" s="6" t="s">
        <v>167</v>
      </c>
      <c r="H40" s="6" t="s">
        <v>136</v>
      </c>
      <c r="I40" s="6" t="s">
        <v>179</v>
      </c>
      <c r="J40" s="6" t="s">
        <v>180</v>
      </c>
      <c r="K40" s="6" t="s">
        <v>93</v>
      </c>
      <c r="L40" s="8" t="s">
        <v>49</v>
      </c>
    </row>
    <row r="41" spans="1:12" ht="15.8" customHeight="1">
      <c r="A41" s="6">
        <v>10047</v>
      </c>
      <c r="B41" s="6" t="s">
        <v>122</v>
      </c>
      <c r="C41" s="10">
        <v>4</v>
      </c>
      <c r="D41" s="7" t="s">
        <v>123</v>
      </c>
      <c r="E41" s="6" t="s">
        <v>135</v>
      </c>
      <c r="F41" s="6" t="s">
        <v>125</v>
      </c>
      <c r="G41" s="6" t="s">
        <v>167</v>
      </c>
      <c r="H41" s="6" t="s">
        <v>136</v>
      </c>
      <c r="I41" s="6" t="s">
        <v>174</v>
      </c>
      <c r="J41" s="6" t="s">
        <v>175</v>
      </c>
      <c r="K41" s="6" t="s">
        <v>93</v>
      </c>
      <c r="L41" s="8" t="s">
        <v>49</v>
      </c>
    </row>
    <row r="42" spans="1:12" ht="15.8" customHeight="1">
      <c r="A42" s="6">
        <v>10060</v>
      </c>
      <c r="B42" s="6" t="s">
        <v>149</v>
      </c>
      <c r="C42" s="10">
        <v>1</v>
      </c>
      <c r="D42" s="7" t="s">
        <v>123</v>
      </c>
      <c r="E42" s="6" t="s">
        <v>176</v>
      </c>
      <c r="F42" s="6" t="s">
        <v>125</v>
      </c>
      <c r="G42" s="6" t="s">
        <v>167</v>
      </c>
      <c r="H42" s="6" t="s">
        <v>136</v>
      </c>
      <c r="I42" s="6" t="s">
        <v>177</v>
      </c>
      <c r="J42" s="6" t="s">
        <v>178</v>
      </c>
      <c r="K42" s="6" t="s">
        <v>82</v>
      </c>
      <c r="L42" s="8" t="s">
        <v>28</v>
      </c>
    </row>
    <row r="43" spans="1:12" ht="15.8" customHeight="1">
      <c r="A43" s="6">
        <v>10074</v>
      </c>
      <c r="B43" s="6" t="s">
        <v>132</v>
      </c>
      <c r="C43" s="10">
        <v>6</v>
      </c>
      <c r="D43" s="7" t="s">
        <v>123</v>
      </c>
      <c r="E43" s="6" t="s">
        <v>133</v>
      </c>
      <c r="F43" s="6" t="s">
        <v>125</v>
      </c>
      <c r="G43" s="6" t="s">
        <v>167</v>
      </c>
      <c r="H43" s="6" t="s">
        <v>142</v>
      </c>
      <c r="I43" s="6" t="s">
        <v>179</v>
      </c>
      <c r="J43" s="6" t="s">
        <v>180</v>
      </c>
      <c r="K43" s="6" t="s">
        <v>93</v>
      </c>
      <c r="L43" s="8" t="s">
        <v>49</v>
      </c>
    </row>
    <row r="44" spans="1:12" ht="15.8" customHeight="1">
      <c r="A44" s="6">
        <v>10059</v>
      </c>
      <c r="B44" s="6" t="s">
        <v>143</v>
      </c>
      <c r="C44" s="10">
        <v>2</v>
      </c>
      <c r="D44" s="7" t="s">
        <v>123</v>
      </c>
      <c r="E44" s="6" t="s">
        <v>144</v>
      </c>
      <c r="F44" s="6" t="s">
        <v>125</v>
      </c>
      <c r="G44" s="6" t="s">
        <v>167</v>
      </c>
      <c r="H44" s="6" t="s">
        <v>142</v>
      </c>
      <c r="I44" s="6" t="s">
        <v>157</v>
      </c>
      <c r="J44" s="6" t="s">
        <v>173</v>
      </c>
      <c r="K44" s="6" t="s">
        <v>82</v>
      </c>
      <c r="L44" s="8" t="s">
        <v>28</v>
      </c>
    </row>
    <row r="45" spans="1:12" ht="15.8" customHeight="1">
      <c r="A45" s="6">
        <v>10049</v>
      </c>
      <c r="B45" s="6" t="s">
        <v>122</v>
      </c>
      <c r="C45" s="10">
        <v>6</v>
      </c>
      <c r="D45" s="7" t="s">
        <v>123</v>
      </c>
      <c r="E45" s="6" t="s">
        <v>135</v>
      </c>
      <c r="F45" s="6" t="s">
        <v>125</v>
      </c>
      <c r="G45" s="6" t="s">
        <v>181</v>
      </c>
      <c r="H45" s="6" t="s">
        <v>148</v>
      </c>
      <c r="I45" s="6" t="s">
        <v>99</v>
      </c>
      <c r="J45" s="6" t="s">
        <v>106</v>
      </c>
      <c r="K45" s="6" t="s">
        <v>82</v>
      </c>
      <c r="L45" s="8" t="s">
        <v>25</v>
      </c>
    </row>
    <row r="46" spans="1:12" ht="15.8" customHeight="1">
      <c r="A46" s="6">
        <v>10077</v>
      </c>
      <c r="B46" s="6" t="s">
        <v>132</v>
      </c>
      <c r="C46" s="10">
        <v>9</v>
      </c>
      <c r="D46" s="7" t="s">
        <v>123</v>
      </c>
      <c r="E46" s="6" t="s">
        <v>133</v>
      </c>
      <c r="F46" s="6" t="s">
        <v>125</v>
      </c>
      <c r="G46" s="6" t="s">
        <v>181</v>
      </c>
      <c r="H46" s="6" t="s">
        <v>148</v>
      </c>
      <c r="I46" s="6" t="s">
        <v>102</v>
      </c>
      <c r="J46" s="6" t="s">
        <v>134</v>
      </c>
      <c r="K46" s="6" t="s">
        <v>82</v>
      </c>
      <c r="L46" s="8" t="s">
        <v>25</v>
      </c>
    </row>
    <row r="47" spans="1:12" ht="15.8" customHeight="1">
      <c r="A47" s="6">
        <v>10068</v>
      </c>
      <c r="B47" s="6" t="s">
        <v>182</v>
      </c>
      <c r="C47" s="10">
        <v>1</v>
      </c>
      <c r="D47" s="7" t="s">
        <v>123</v>
      </c>
      <c r="E47" s="6" t="s">
        <v>183</v>
      </c>
      <c r="F47" s="6" t="s">
        <v>125</v>
      </c>
      <c r="G47" s="6" t="s">
        <v>181</v>
      </c>
      <c r="H47" s="6" t="s">
        <v>155</v>
      </c>
      <c r="I47" s="6" t="s">
        <v>99</v>
      </c>
      <c r="J47" s="6" t="s">
        <v>106</v>
      </c>
      <c r="K47" s="6" t="s">
        <v>82</v>
      </c>
      <c r="L47" s="8" t="s">
        <v>25</v>
      </c>
    </row>
    <row r="48" spans="1:12" ht="15.8" customHeight="1">
      <c r="A48" s="6">
        <v>10820</v>
      </c>
      <c r="B48" s="6" t="s">
        <v>89</v>
      </c>
      <c r="C48" s="7">
        <v>100</v>
      </c>
      <c r="D48" s="7">
        <v>2</v>
      </c>
      <c r="E48" s="6" t="s">
        <v>90</v>
      </c>
      <c r="F48" s="6" t="s">
        <v>78</v>
      </c>
      <c r="G48" s="6" t="s">
        <v>101</v>
      </c>
      <c r="H48" s="6" t="s">
        <v>15</v>
      </c>
      <c r="I48" s="6" t="s">
        <v>102</v>
      </c>
      <c r="J48" s="9" t="s">
        <v>103</v>
      </c>
      <c r="K48" s="6" t="s">
        <v>82</v>
      </c>
      <c r="L48" s="8" t="s">
        <v>26</v>
      </c>
    </row>
    <row r="49" spans="1:12" ht="15.8" customHeight="1">
      <c r="A49" s="6">
        <v>10830</v>
      </c>
      <c r="B49" s="6" t="s">
        <v>104</v>
      </c>
      <c r="C49" s="7">
        <v>100</v>
      </c>
      <c r="D49" s="7">
        <v>2</v>
      </c>
      <c r="E49" s="6" t="s">
        <v>105</v>
      </c>
      <c r="F49" s="6" t="s">
        <v>78</v>
      </c>
      <c r="G49" s="6" t="s">
        <v>101</v>
      </c>
      <c r="H49" s="6" t="s">
        <v>15</v>
      </c>
      <c r="I49" s="6" t="s">
        <v>99</v>
      </c>
      <c r="J49" s="6" t="s">
        <v>106</v>
      </c>
      <c r="K49" s="6" t="s">
        <v>93</v>
      </c>
      <c r="L49" s="8" t="s">
        <v>25</v>
      </c>
    </row>
    <row r="50" spans="1:12" ht="15.8" customHeight="1">
      <c r="A50" s="6">
        <v>10065</v>
      </c>
      <c r="B50" s="6" t="s">
        <v>198</v>
      </c>
      <c r="C50" s="10" t="s">
        <v>188</v>
      </c>
      <c r="D50" s="7" t="s">
        <v>193</v>
      </c>
      <c r="E50" s="6" t="s">
        <v>185</v>
      </c>
      <c r="F50" s="6" t="s">
        <v>189</v>
      </c>
      <c r="G50" s="6" t="s">
        <v>101</v>
      </c>
      <c r="H50" s="6" t="s">
        <v>190</v>
      </c>
      <c r="I50" s="6" t="s">
        <v>177</v>
      </c>
      <c r="J50" s="6" t="s">
        <v>187</v>
      </c>
      <c r="K50" s="6" t="s">
        <v>82</v>
      </c>
      <c r="L50" s="8" t="s">
        <v>26</v>
      </c>
    </row>
    <row r="51" spans="1:12" ht="15.8" customHeight="1">
      <c r="A51" s="6">
        <v>10829</v>
      </c>
      <c r="B51" s="6" t="s">
        <v>109</v>
      </c>
      <c r="C51" s="7" t="s">
        <v>84</v>
      </c>
      <c r="D51" s="7">
        <v>2</v>
      </c>
      <c r="E51" s="6" t="s">
        <v>110</v>
      </c>
      <c r="F51" s="6" t="s">
        <v>78</v>
      </c>
      <c r="G51" s="6" t="s">
        <v>101</v>
      </c>
      <c r="H51" s="6" t="s">
        <v>16</v>
      </c>
      <c r="I51" s="6" t="s">
        <v>99</v>
      </c>
      <c r="J51" s="6" t="s">
        <v>111</v>
      </c>
      <c r="K51" s="6" t="s">
        <v>82</v>
      </c>
      <c r="L51" s="8" t="s">
        <v>28</v>
      </c>
    </row>
    <row r="52" spans="1:12" ht="15.8" customHeight="1">
      <c r="A52" s="6">
        <v>10824</v>
      </c>
      <c r="B52" s="6" t="s">
        <v>76</v>
      </c>
      <c r="C52" s="7" t="s">
        <v>107</v>
      </c>
      <c r="D52" s="7">
        <v>2</v>
      </c>
      <c r="E52" s="6" t="s">
        <v>77</v>
      </c>
      <c r="F52" s="6" t="s">
        <v>78</v>
      </c>
      <c r="G52" s="6" t="s">
        <v>101</v>
      </c>
      <c r="H52" s="6" t="s">
        <v>16</v>
      </c>
      <c r="I52" s="6" t="s">
        <v>108</v>
      </c>
      <c r="J52" s="6" t="s">
        <v>100</v>
      </c>
      <c r="K52" s="6" t="s">
        <v>82</v>
      </c>
      <c r="L52" s="8" t="s">
        <v>26</v>
      </c>
    </row>
    <row r="53" spans="1:12" ht="15.8" customHeight="1">
      <c r="A53" s="6">
        <v>10064</v>
      </c>
      <c r="B53" s="6" t="s">
        <v>184</v>
      </c>
      <c r="C53" s="10">
        <v>1</v>
      </c>
      <c r="D53" s="7" t="s">
        <v>123</v>
      </c>
      <c r="E53" s="6" t="s">
        <v>185</v>
      </c>
      <c r="F53" s="6" t="s">
        <v>125</v>
      </c>
      <c r="G53" s="6" t="s">
        <v>101</v>
      </c>
      <c r="H53" s="6" t="s">
        <v>186</v>
      </c>
      <c r="I53" s="6" t="s">
        <v>99</v>
      </c>
      <c r="J53" s="6" t="s">
        <v>187</v>
      </c>
      <c r="K53" s="6" t="s">
        <v>82</v>
      </c>
      <c r="L53" s="8" t="s">
        <v>26</v>
      </c>
    </row>
    <row r="54" spans="1:12" ht="15.8" customHeight="1">
      <c r="A54" s="6">
        <v>10973</v>
      </c>
      <c r="B54" s="6" t="s">
        <v>76</v>
      </c>
      <c r="C54" s="7" t="s">
        <v>112</v>
      </c>
      <c r="D54" s="7">
        <v>2</v>
      </c>
      <c r="E54" s="6" t="s">
        <v>113</v>
      </c>
      <c r="F54" s="6" t="s">
        <v>78</v>
      </c>
      <c r="G54" s="6" t="s">
        <v>101</v>
      </c>
      <c r="H54" s="6" t="s">
        <v>114</v>
      </c>
      <c r="I54" s="6" t="s">
        <v>108</v>
      </c>
      <c r="J54" s="6" t="s">
        <v>115</v>
      </c>
      <c r="K54" s="6" t="s">
        <v>82</v>
      </c>
      <c r="L54" s="8" t="s">
        <v>25</v>
      </c>
    </row>
    <row r="55" spans="1:12" ht="15.8" customHeight="1">
      <c r="A55" s="6"/>
      <c r="B55" s="6"/>
      <c r="C55" s="6"/>
      <c r="D55" s="7"/>
      <c r="E55" s="12"/>
      <c r="F55" s="12"/>
      <c r="G55" s="6"/>
      <c r="H55" s="6"/>
      <c r="I55" s="6"/>
      <c r="J55" s="6"/>
    </row>
    <row r="56" spans="1:12" ht="15.8" customHeight="1">
      <c r="A56" s="13"/>
      <c r="D56" s="7"/>
    </row>
    <row r="57" spans="1:12" ht="15.8" customHeight="1">
      <c r="A57" s="14" t="s">
        <v>199</v>
      </c>
      <c r="C57" s="7"/>
      <c r="D57" s="7"/>
    </row>
    <row r="58" spans="1:12" ht="15.8" customHeight="1">
      <c r="C58" s="7"/>
    </row>
    <row r="59" spans="1:12" ht="15.8" customHeight="1"/>
    <row r="60" spans="1:12" ht="15.8" customHeight="1"/>
    <row r="61" spans="1:12" ht="15.8" customHeight="1"/>
    <row r="62" spans="1:12" ht="15.8" customHeight="1"/>
    <row r="63" spans="1:12" ht="15.8" customHeight="1"/>
    <row r="64" spans="1:12" ht="15.8" customHeight="1"/>
    <row r="65" ht="15.8" customHeight="1"/>
    <row r="66" ht="15.8" customHeight="1"/>
    <row r="67" ht="15.8" customHeight="1"/>
    <row r="68" ht="15.8" customHeight="1"/>
    <row r="69" ht="15.8" customHeight="1"/>
    <row r="70" ht="15.8" customHeight="1"/>
    <row r="71" ht="15.8" customHeight="1"/>
    <row r="72" ht="15.8" customHeight="1"/>
    <row r="73" ht="15.8" customHeight="1"/>
    <row r="74" ht="15.8" customHeight="1"/>
    <row r="75" ht="15.8" customHeight="1"/>
    <row r="76" ht="15.8" customHeight="1"/>
    <row r="77" ht="15.8" customHeight="1"/>
    <row r="78" ht="15.8" customHeight="1"/>
    <row r="79" ht="15.8" customHeight="1"/>
    <row r="80" ht="15.8" customHeight="1"/>
    <row r="81" ht="15.8" customHeight="1"/>
    <row r="82" ht="15.8" customHeight="1"/>
    <row r="83" ht="15.8" customHeight="1"/>
    <row r="84" ht="15.8" customHeight="1"/>
    <row r="85" ht="15.8" customHeight="1"/>
    <row r="86" ht="15.8" customHeight="1"/>
    <row r="87" ht="15.8" customHeight="1"/>
    <row r="88" ht="15.8" customHeight="1"/>
    <row r="89" ht="15.8" customHeight="1"/>
    <row r="90" ht="15.8" customHeight="1"/>
    <row r="91" ht="15.8" customHeight="1"/>
    <row r="92" ht="15.8" customHeight="1"/>
    <row r="93" ht="15.8" customHeight="1"/>
    <row r="94" ht="15.8" customHeight="1"/>
    <row r="95" ht="15.8" customHeight="1"/>
    <row r="96" ht="15.8" customHeight="1"/>
    <row r="97" ht="15.8" customHeight="1"/>
    <row r="98" ht="15.8" customHeight="1"/>
    <row r="99" ht="15.8" customHeight="1"/>
    <row r="100" ht="15.8" customHeight="1"/>
    <row r="101" ht="15.8" customHeight="1"/>
    <row r="102" ht="15.8" customHeight="1"/>
    <row r="103" ht="15.8" customHeight="1"/>
    <row r="104" ht="15.8" customHeight="1"/>
    <row r="105" ht="15.8" customHeight="1"/>
    <row r="106" ht="15.8" customHeight="1"/>
    <row r="107" ht="15.8" customHeight="1"/>
    <row r="108" ht="15.8" customHeight="1"/>
    <row r="109" ht="15.8" customHeight="1"/>
    <row r="110" ht="15.8" customHeight="1"/>
    <row r="111" ht="15.8" customHeight="1"/>
    <row r="112" ht="15.8" customHeight="1"/>
    <row r="113" ht="15.8" customHeight="1"/>
    <row r="114" ht="15.8" customHeight="1"/>
    <row r="115" ht="15.8" customHeight="1"/>
    <row r="116" ht="15.8" customHeight="1"/>
    <row r="117" ht="15.8" customHeight="1"/>
    <row r="118" ht="15.8" customHeight="1"/>
    <row r="119" ht="15.8" customHeight="1"/>
    <row r="120" ht="15.8" customHeight="1"/>
    <row r="121" ht="15.8" customHeight="1"/>
    <row r="122" ht="15.8" customHeight="1"/>
    <row r="123" ht="15.8" customHeight="1"/>
    <row r="124" ht="15.8" customHeight="1"/>
    <row r="125" ht="15.8" customHeight="1"/>
    <row r="126" ht="15.8" customHeight="1"/>
    <row r="127" ht="15.8" customHeight="1"/>
    <row r="128" ht="15.8" customHeight="1"/>
    <row r="129" ht="15.8" customHeight="1"/>
    <row r="130" ht="15.8" customHeight="1"/>
    <row r="131" ht="15.8" customHeight="1"/>
    <row r="132" ht="15.8" customHeight="1"/>
    <row r="133" ht="15.8" customHeight="1"/>
    <row r="134" ht="15.8" customHeight="1"/>
    <row r="135" ht="15.8" customHeight="1"/>
    <row r="136" ht="15.8" customHeight="1"/>
    <row r="137" ht="15.8" customHeight="1"/>
    <row r="138" ht="15.8" customHeight="1"/>
    <row r="139" ht="15.8" customHeight="1"/>
    <row r="140" ht="15.8" customHeight="1"/>
    <row r="141" ht="15.8" customHeight="1"/>
    <row r="142" ht="15.8" customHeight="1"/>
    <row r="143" ht="15.8" customHeight="1"/>
    <row r="144" ht="15.8" customHeight="1"/>
    <row r="145" ht="15.8" customHeight="1"/>
    <row r="146" ht="15.8" customHeight="1"/>
    <row r="147" ht="15.8" customHeight="1"/>
    <row r="148" ht="15.8" customHeight="1"/>
    <row r="149" ht="15.8" customHeight="1"/>
    <row r="150" ht="15.8" customHeight="1"/>
    <row r="151" ht="15.8" customHeight="1"/>
    <row r="152" ht="15.8" customHeight="1"/>
    <row r="153" ht="15.8" customHeight="1"/>
    <row r="154" ht="15.8" customHeight="1"/>
    <row r="155" ht="15.8" customHeight="1"/>
    <row r="156" ht="15.8" customHeight="1"/>
    <row r="157" ht="15.8" customHeight="1"/>
    <row r="158" ht="15.8" customHeight="1"/>
    <row r="159" ht="15.8" customHeight="1"/>
    <row r="160" ht="15.8" customHeight="1"/>
    <row r="161" ht="15.8" customHeight="1"/>
    <row r="162" ht="15.8" customHeight="1"/>
    <row r="163" ht="15.8" customHeight="1"/>
    <row r="164" ht="15.8" customHeight="1"/>
    <row r="165" ht="15.8" customHeight="1"/>
    <row r="166" ht="15.8" customHeight="1"/>
    <row r="167" ht="15.8" customHeight="1"/>
    <row r="168" ht="15.8" customHeight="1"/>
    <row r="169" ht="15.8" customHeight="1"/>
    <row r="170" ht="15.8" customHeight="1"/>
    <row r="171" ht="15.8" customHeight="1"/>
    <row r="172" ht="15.8" customHeight="1"/>
    <row r="173" ht="15.8" customHeight="1"/>
    <row r="174" ht="15.8" customHeight="1"/>
    <row r="175" ht="15.8" customHeight="1"/>
    <row r="176" ht="15.8" customHeight="1"/>
    <row r="177" ht="15.8" customHeight="1"/>
    <row r="178" ht="15.8" customHeight="1"/>
    <row r="179" ht="15.8" customHeight="1"/>
    <row r="180" ht="15.8" customHeight="1"/>
    <row r="181" ht="15.8" customHeight="1"/>
    <row r="182" ht="15.8" customHeight="1"/>
    <row r="183" ht="15.8" customHeight="1"/>
    <row r="184" ht="15.8" customHeight="1"/>
    <row r="185" ht="15.8" customHeight="1"/>
    <row r="186" ht="15.8" customHeight="1"/>
    <row r="187" ht="15.8" customHeight="1"/>
    <row r="188" ht="15.8" customHeight="1"/>
    <row r="189" ht="15.8" customHeight="1"/>
    <row r="190" ht="15.8" customHeight="1"/>
    <row r="191" ht="15.8" customHeight="1"/>
    <row r="192" ht="15.8" customHeight="1"/>
    <row r="193" ht="15.8" customHeight="1"/>
    <row r="194" ht="15.8" customHeight="1"/>
    <row r="195" ht="15.8" customHeight="1"/>
    <row r="196" ht="15.8" customHeight="1"/>
    <row r="197" ht="15.8" customHeight="1"/>
    <row r="198" ht="15.8" customHeight="1"/>
    <row r="199" ht="15.8" customHeight="1"/>
    <row r="200" ht="15.8" customHeight="1"/>
    <row r="201" ht="15.8" customHeight="1"/>
    <row r="202" ht="15.8" customHeight="1"/>
    <row r="203" ht="15.8" customHeight="1"/>
    <row r="204" ht="15.8" customHeight="1"/>
    <row r="205" ht="15.8" customHeight="1"/>
    <row r="206" ht="15.8" customHeight="1"/>
    <row r="207" ht="15.8" customHeight="1"/>
    <row r="208" ht="15.8" customHeight="1"/>
    <row r="209" ht="15.8" customHeight="1"/>
    <row r="210" ht="15.8" customHeight="1"/>
    <row r="211" ht="15.8" customHeight="1"/>
    <row r="212" ht="15.8" customHeight="1"/>
    <row r="213" ht="15.8" customHeight="1"/>
    <row r="214" ht="15.8" customHeight="1"/>
    <row r="215" ht="15.8" customHeight="1"/>
    <row r="216" ht="15.8" customHeight="1"/>
    <row r="217" ht="15.8" customHeight="1"/>
    <row r="218" ht="15.8" customHeight="1"/>
    <row r="219" ht="15.8" customHeight="1"/>
    <row r="220" ht="15.8" customHeight="1"/>
    <row r="221" ht="15.8" customHeight="1"/>
    <row r="222" ht="15.8" customHeight="1"/>
    <row r="223" ht="15.8" customHeight="1"/>
    <row r="224" ht="15.8" customHeight="1"/>
    <row r="225" ht="15.8" customHeight="1"/>
    <row r="226" ht="15.8" customHeight="1"/>
    <row r="227" ht="15.8" customHeight="1"/>
    <row r="228" ht="15.8" customHeight="1"/>
    <row r="229" ht="15.8" customHeight="1"/>
    <row r="230" ht="15.8" customHeight="1"/>
    <row r="231" ht="15.8" customHeight="1"/>
    <row r="232" ht="15.8" customHeight="1"/>
    <row r="233" ht="15.8" customHeight="1"/>
    <row r="234" ht="15.8" customHeight="1"/>
    <row r="235" ht="15.8" customHeight="1"/>
    <row r="236" ht="15.8" customHeight="1"/>
    <row r="237" ht="15.8" customHeight="1"/>
    <row r="238" ht="15.8" customHeight="1"/>
    <row r="239" ht="15.8" customHeight="1"/>
    <row r="240" ht="15.8" customHeight="1"/>
    <row r="241" ht="15.8" customHeight="1"/>
    <row r="242" ht="15.8" customHeight="1"/>
    <row r="243" ht="15.8" customHeight="1"/>
    <row r="244" ht="15.8" customHeight="1"/>
    <row r="245" ht="15.8" customHeight="1"/>
    <row r="246" ht="15.8" customHeight="1"/>
    <row r="247" ht="15.8" customHeight="1"/>
    <row r="248" ht="15.8" customHeight="1"/>
    <row r="249" ht="15.8" customHeight="1"/>
    <row r="250" ht="15.8" customHeight="1"/>
    <row r="251" ht="15.8" customHeight="1"/>
    <row r="252" ht="15.8" customHeight="1"/>
    <row r="253" ht="15.8" customHeight="1"/>
    <row r="254" ht="15.8" customHeight="1"/>
    <row r="255" ht="15.8" customHeight="1"/>
    <row r="256" ht="15.8" customHeight="1"/>
    <row r="257" ht="15.8" customHeight="1"/>
    <row r="258" ht="15.8" customHeight="1"/>
    <row r="259" ht="15.8" customHeight="1"/>
    <row r="260" ht="15.8" customHeight="1"/>
    <row r="261" ht="15.8" customHeight="1"/>
    <row r="262" ht="15.8" customHeight="1"/>
    <row r="263" ht="15.8" customHeight="1"/>
    <row r="264" ht="15.8" customHeight="1"/>
    <row r="265" ht="15.8" customHeight="1"/>
    <row r="266" ht="15.8" customHeight="1"/>
    <row r="267" ht="15.8" customHeight="1"/>
    <row r="268" ht="15.8" customHeight="1"/>
    <row r="269" ht="15.8" customHeight="1"/>
    <row r="270" ht="15.8" customHeight="1"/>
    <row r="271" ht="15.8" customHeight="1"/>
    <row r="272" ht="15.8" customHeight="1"/>
    <row r="273" ht="15.8" customHeight="1"/>
    <row r="274" ht="15.8" customHeight="1"/>
    <row r="275" ht="15.8" customHeight="1"/>
    <row r="276" ht="15.8" customHeight="1"/>
    <row r="277" ht="15.8" customHeight="1"/>
    <row r="278" ht="15.8" customHeight="1"/>
    <row r="279" ht="15.8" customHeight="1"/>
    <row r="280" ht="15.8" customHeight="1"/>
    <row r="281" ht="15.8" customHeight="1"/>
    <row r="282" ht="15.8" customHeight="1"/>
    <row r="283" ht="15.8" customHeight="1"/>
    <row r="284" ht="15.8" customHeight="1"/>
    <row r="285" ht="15.8" customHeight="1"/>
    <row r="286" ht="15.8" customHeight="1"/>
    <row r="287" ht="15.8" customHeight="1"/>
    <row r="288" ht="15.8" customHeight="1"/>
    <row r="289" ht="15.8" customHeight="1"/>
    <row r="290" ht="15.8" customHeight="1"/>
    <row r="291" ht="15.8" customHeight="1"/>
    <row r="292" ht="15.8" customHeight="1"/>
    <row r="293" ht="15.8" customHeight="1"/>
    <row r="294" ht="15.8" customHeight="1"/>
    <row r="295" ht="15.8" customHeight="1"/>
    <row r="296" ht="15.8" customHeight="1"/>
    <row r="297" ht="15.8" customHeight="1"/>
    <row r="298" ht="15.8" customHeight="1"/>
    <row r="299" ht="15.8" customHeight="1"/>
    <row r="300" ht="15.8" customHeight="1"/>
    <row r="301" ht="15.8" customHeight="1"/>
    <row r="302" ht="15.8" customHeight="1"/>
    <row r="303" ht="15.8" customHeight="1"/>
    <row r="304" ht="15.8" customHeight="1"/>
    <row r="305" ht="15.8" customHeight="1"/>
    <row r="306" ht="15.8" customHeight="1"/>
    <row r="307" ht="15.8" customHeight="1"/>
    <row r="308" ht="15.8" customHeight="1"/>
    <row r="309" ht="15.8" customHeight="1"/>
    <row r="310" ht="15.8" customHeight="1"/>
    <row r="311" ht="15.8" customHeight="1"/>
    <row r="312" ht="15.8" customHeight="1"/>
    <row r="313" ht="15.8" customHeight="1"/>
    <row r="314" ht="15.8" customHeight="1"/>
    <row r="315" ht="15.8" customHeight="1"/>
    <row r="316" ht="15.8" customHeight="1"/>
    <row r="317" ht="15.8" customHeight="1"/>
    <row r="318" ht="15.8" customHeight="1"/>
    <row r="319" ht="15.8" customHeight="1"/>
    <row r="320" ht="15.8" customHeight="1"/>
    <row r="321" ht="15.8" customHeight="1"/>
    <row r="322" ht="15.8" customHeight="1"/>
    <row r="323" ht="15.8" customHeight="1"/>
    <row r="324" ht="15.8" customHeight="1"/>
    <row r="325" ht="15.8" customHeight="1"/>
    <row r="326" ht="15.8" customHeight="1"/>
    <row r="327" ht="15.8" customHeight="1"/>
    <row r="328" ht="15.8" customHeight="1"/>
    <row r="329" ht="15.8" customHeight="1"/>
    <row r="330" ht="15.8" customHeight="1"/>
    <row r="331" ht="15.8" customHeight="1"/>
    <row r="332" ht="15.8" customHeight="1"/>
    <row r="333" ht="15.8" customHeight="1"/>
    <row r="334" ht="15.8" customHeight="1"/>
    <row r="335" ht="15.8" customHeight="1"/>
    <row r="336" ht="15.8" customHeight="1"/>
    <row r="337" ht="15.8" customHeight="1"/>
    <row r="338" ht="15.8" customHeight="1"/>
    <row r="339" ht="15.8" customHeight="1"/>
    <row r="340" ht="15.8" customHeight="1"/>
    <row r="341" ht="15.8" customHeight="1"/>
    <row r="342" ht="15.8" customHeight="1"/>
    <row r="343" ht="15.8" customHeight="1"/>
    <row r="344" ht="15.8" customHeight="1"/>
    <row r="345" ht="15.8" customHeight="1"/>
    <row r="346" ht="15.8" customHeight="1"/>
    <row r="347" ht="15.8" customHeight="1"/>
    <row r="348" ht="15.8" customHeight="1"/>
    <row r="349" ht="15.8" customHeight="1"/>
    <row r="350" ht="15.8" customHeight="1"/>
    <row r="351" ht="15.8" customHeight="1"/>
    <row r="352" ht="15.8" customHeight="1"/>
    <row r="353" ht="15.8" customHeight="1"/>
    <row r="354" ht="15.8" customHeight="1"/>
    <row r="355" ht="15.8" customHeight="1"/>
    <row r="356" ht="15.8" customHeight="1"/>
    <row r="357" ht="15.8" customHeight="1"/>
    <row r="358" ht="15.8" customHeight="1"/>
    <row r="359" ht="15.8" customHeight="1"/>
    <row r="360" ht="15.8" customHeight="1"/>
    <row r="361" ht="15.8" customHeight="1"/>
    <row r="362" ht="15.8" customHeight="1"/>
    <row r="363" ht="15.8" customHeight="1"/>
    <row r="364" ht="15.8" customHeight="1"/>
    <row r="365" ht="15.8" customHeight="1"/>
    <row r="366" ht="15.8" customHeight="1"/>
    <row r="367" ht="15.8" customHeight="1"/>
    <row r="368" ht="15.8" customHeight="1"/>
    <row r="369" ht="15.8" customHeight="1"/>
    <row r="370" ht="15.8" customHeight="1"/>
    <row r="371" ht="15.8" customHeight="1"/>
    <row r="372" ht="15.8" customHeight="1"/>
    <row r="373" ht="15.8" customHeight="1"/>
    <row r="374" ht="15.8" customHeight="1"/>
    <row r="375" ht="15.8" customHeight="1"/>
    <row r="376" ht="15.8" customHeight="1"/>
    <row r="377" ht="15.8" customHeight="1"/>
    <row r="378" ht="15.8" customHeight="1"/>
    <row r="379" ht="15.8" customHeight="1"/>
    <row r="380" ht="15.8" customHeight="1"/>
    <row r="381" ht="15.8" customHeight="1"/>
    <row r="382" ht="15.8" customHeight="1"/>
    <row r="383" ht="15.8" customHeight="1"/>
    <row r="384" ht="15.8" customHeight="1"/>
    <row r="385" ht="15.8" customHeight="1"/>
    <row r="386" ht="15.8" customHeight="1"/>
    <row r="387" ht="15.8" customHeight="1"/>
    <row r="388" ht="15.8" customHeight="1"/>
    <row r="389" ht="15.8" customHeight="1"/>
    <row r="390" ht="15.8" customHeight="1"/>
    <row r="391" ht="15.8" customHeight="1"/>
    <row r="392" ht="15.8" customHeight="1"/>
    <row r="393" ht="15.8" customHeight="1"/>
    <row r="394" ht="15.8" customHeight="1"/>
    <row r="395" ht="15.8" customHeight="1"/>
    <row r="396" ht="15.8" customHeight="1"/>
    <row r="397" ht="15.8" customHeight="1"/>
    <row r="398" ht="15.8" customHeight="1"/>
    <row r="399" ht="15.8" customHeight="1"/>
    <row r="400" ht="15.8" customHeight="1"/>
    <row r="401" ht="15.8" customHeight="1"/>
    <row r="402" ht="15.8" customHeight="1"/>
    <row r="403" ht="15.8" customHeight="1"/>
    <row r="404" ht="15.8" customHeight="1"/>
    <row r="405" ht="15.8" customHeight="1"/>
    <row r="406" ht="15.8" customHeight="1"/>
    <row r="407" ht="15.8" customHeight="1"/>
    <row r="408" ht="15.8" customHeight="1"/>
    <row r="409" ht="15.8" customHeight="1"/>
    <row r="410" ht="15.8" customHeight="1"/>
    <row r="411" ht="15.8" customHeight="1"/>
    <row r="412" ht="15.8" customHeight="1"/>
    <row r="413" ht="15.8" customHeight="1"/>
    <row r="414" ht="15.8" customHeight="1"/>
    <row r="415" ht="15.8" customHeight="1"/>
    <row r="416" ht="15.8" customHeight="1"/>
    <row r="417" ht="15.8" customHeight="1"/>
    <row r="418" ht="15.8" customHeight="1"/>
    <row r="419" ht="15.8" customHeight="1"/>
    <row r="420" ht="15.8" customHeight="1"/>
    <row r="421" ht="15.8" customHeight="1"/>
    <row r="422" ht="15.8" customHeight="1"/>
    <row r="423" ht="15.8" customHeight="1"/>
    <row r="424" ht="15.8" customHeight="1"/>
    <row r="425" ht="15.8" customHeight="1"/>
    <row r="426" ht="15.8" customHeight="1"/>
    <row r="427" ht="15.8" customHeight="1"/>
    <row r="428" ht="15.8" customHeight="1"/>
    <row r="429" ht="15.8" customHeight="1"/>
    <row r="430" ht="15.8" customHeight="1"/>
    <row r="431" ht="15.8" customHeight="1"/>
    <row r="432" ht="15.8" customHeight="1"/>
    <row r="433" ht="15.8" customHeight="1"/>
    <row r="434" ht="15.8" customHeight="1"/>
    <row r="435" ht="15.8" customHeight="1"/>
    <row r="436" ht="15.8" customHeight="1"/>
    <row r="437" ht="15.8" customHeight="1"/>
    <row r="438" ht="15.8" customHeight="1"/>
    <row r="439" ht="15.8" customHeight="1"/>
    <row r="440" ht="15.8" customHeight="1"/>
    <row r="441" ht="15.8" customHeight="1"/>
    <row r="442" ht="15.8" customHeight="1"/>
    <row r="443" ht="15.8" customHeight="1"/>
    <row r="444" ht="15.8" customHeight="1"/>
    <row r="445" ht="15.8" customHeight="1"/>
    <row r="446" ht="15.8" customHeight="1"/>
    <row r="447" ht="15.8" customHeight="1"/>
    <row r="448" ht="15.8" customHeight="1"/>
    <row r="449" ht="15.8" customHeight="1"/>
    <row r="450" ht="15.8" customHeight="1"/>
    <row r="451" ht="15.8" customHeight="1"/>
    <row r="452" ht="15.8" customHeight="1"/>
    <row r="453" ht="15.8" customHeight="1"/>
    <row r="454" ht="15.8" customHeight="1"/>
    <row r="455" ht="15.8" customHeight="1"/>
    <row r="456" ht="15.8" customHeight="1"/>
    <row r="457" ht="15.8" customHeight="1"/>
    <row r="458" ht="15.8" customHeight="1"/>
    <row r="459" ht="15.8" customHeight="1"/>
    <row r="460" ht="15.8" customHeight="1"/>
    <row r="461" ht="15.8" customHeight="1"/>
    <row r="462" ht="15.8" customHeight="1"/>
    <row r="463" ht="15.8" customHeight="1"/>
    <row r="464" ht="15.8" customHeight="1"/>
    <row r="465" ht="15.8" customHeight="1"/>
    <row r="466" ht="15.8" customHeight="1"/>
    <row r="467" ht="15.8" customHeight="1"/>
    <row r="468" ht="15.8" customHeight="1"/>
    <row r="469" ht="15.8" customHeight="1"/>
    <row r="470" ht="15.8" customHeight="1"/>
    <row r="471" ht="15.8" customHeight="1"/>
    <row r="472" ht="15.8" customHeight="1"/>
    <row r="473" ht="15.8" customHeight="1"/>
    <row r="474" ht="15.8" customHeight="1"/>
    <row r="475" ht="15.8" customHeight="1"/>
    <row r="476" ht="15.8" customHeight="1"/>
    <row r="477" ht="15.8" customHeight="1"/>
    <row r="478" ht="15.8" customHeight="1"/>
    <row r="479" ht="15.8" customHeight="1"/>
    <row r="480" ht="15.8" customHeight="1"/>
    <row r="481" ht="15.8" customHeight="1"/>
    <row r="482" ht="15.8" customHeight="1"/>
    <row r="483" ht="15.8" customHeight="1"/>
    <row r="484" ht="15.8" customHeight="1"/>
    <row r="485" ht="15.8" customHeight="1"/>
    <row r="486" ht="15.8" customHeight="1"/>
    <row r="487" ht="15.8" customHeight="1"/>
    <row r="488" ht="15.8" customHeight="1"/>
    <row r="489" ht="15.8" customHeight="1"/>
    <row r="490" ht="15.8" customHeight="1"/>
    <row r="491" ht="15.8" customHeight="1"/>
    <row r="492" ht="15.8" customHeight="1"/>
    <row r="493" ht="15.8" customHeight="1"/>
    <row r="494" ht="15.8" customHeight="1"/>
    <row r="495" ht="15.8" customHeight="1"/>
    <row r="496" ht="15.8" customHeight="1"/>
    <row r="497" ht="15.8" customHeight="1"/>
    <row r="498" ht="15.8" customHeight="1"/>
    <row r="499" ht="15.8" customHeight="1"/>
    <row r="500" ht="15.8" customHeight="1"/>
    <row r="501" ht="15.8" customHeight="1"/>
    <row r="502" ht="15.8" customHeight="1"/>
    <row r="503" ht="15.8" customHeight="1"/>
    <row r="504" ht="15.8" customHeight="1"/>
    <row r="505" ht="15.8" customHeight="1"/>
    <row r="506" ht="15.8" customHeight="1"/>
    <row r="507" ht="15.8" customHeight="1"/>
    <row r="508" ht="15.8" customHeight="1"/>
    <row r="509" ht="15.8" customHeight="1"/>
    <row r="510" ht="15.8" customHeight="1"/>
    <row r="511" ht="15.8" customHeight="1"/>
    <row r="512" ht="15.8" customHeight="1"/>
    <row r="513" ht="15.8" customHeight="1"/>
    <row r="514" ht="15.8" customHeight="1"/>
    <row r="515" ht="15.8" customHeight="1"/>
    <row r="516" ht="15.8" customHeight="1"/>
    <row r="517" ht="15.8" customHeight="1"/>
    <row r="518" ht="15.8" customHeight="1"/>
    <row r="519" ht="15.8" customHeight="1"/>
    <row r="520" ht="15.8" customHeight="1"/>
    <row r="521" ht="15.8" customHeight="1"/>
    <row r="522" ht="15.8" customHeight="1"/>
    <row r="523" ht="15.8" customHeight="1"/>
    <row r="524" ht="15.8" customHeight="1"/>
    <row r="525" ht="15.8" customHeight="1"/>
    <row r="526" ht="15.8" customHeight="1"/>
    <row r="527" ht="15.8" customHeight="1"/>
    <row r="528" ht="15.8" customHeight="1"/>
    <row r="529" ht="15.8" customHeight="1"/>
    <row r="530" ht="15.8" customHeight="1"/>
    <row r="531" ht="15.8" customHeight="1"/>
    <row r="532" ht="15.8" customHeight="1"/>
    <row r="533" ht="15.8" customHeight="1"/>
    <row r="534" ht="15.8" customHeight="1"/>
    <row r="535" ht="15.8" customHeight="1"/>
    <row r="536" ht="15.8" customHeight="1"/>
    <row r="537" ht="15.8" customHeight="1"/>
    <row r="538" ht="15.8" customHeight="1"/>
    <row r="539" ht="15.8" customHeight="1"/>
    <row r="540" ht="15.8" customHeight="1"/>
    <row r="541" ht="15.8" customHeight="1"/>
    <row r="542" ht="15.8" customHeight="1"/>
    <row r="543" ht="15.8" customHeight="1"/>
    <row r="544" ht="15.8" customHeight="1"/>
    <row r="545" ht="15.8" customHeight="1"/>
    <row r="546" ht="15.8" customHeight="1"/>
    <row r="547" ht="15.8" customHeight="1"/>
    <row r="548" ht="15.8" customHeight="1"/>
    <row r="549" ht="15.8" customHeight="1"/>
    <row r="550" ht="15.8" customHeight="1"/>
    <row r="551" ht="15.8" customHeight="1"/>
    <row r="552" ht="15.8" customHeight="1"/>
    <row r="553" ht="15.8" customHeight="1"/>
    <row r="554" ht="15.8" customHeight="1"/>
    <row r="555" ht="15.8" customHeight="1"/>
    <row r="556" ht="15.8" customHeight="1"/>
    <row r="557" ht="15.8" customHeight="1"/>
    <row r="558" ht="15.8" customHeight="1"/>
    <row r="559" ht="15.8" customHeight="1"/>
    <row r="560" ht="15.8" customHeight="1"/>
    <row r="561" ht="15.8" customHeight="1"/>
    <row r="562" ht="15.8" customHeight="1"/>
    <row r="563" ht="15.8" customHeight="1"/>
    <row r="564" ht="15.8" customHeight="1"/>
    <row r="565" ht="15.8" customHeight="1"/>
    <row r="566" ht="15.8" customHeight="1"/>
    <row r="567" ht="15.8" customHeight="1"/>
    <row r="568" ht="15.8" customHeight="1"/>
    <row r="569" ht="15.8" customHeight="1"/>
    <row r="570" ht="15.8" customHeight="1"/>
    <row r="571" ht="15.8" customHeight="1"/>
    <row r="572" ht="15.8" customHeight="1"/>
    <row r="573" ht="15.8" customHeight="1"/>
    <row r="574" ht="15.8" customHeight="1"/>
    <row r="575" ht="15.8" customHeight="1"/>
    <row r="576" ht="15.8" customHeight="1"/>
    <row r="577" ht="15.8" customHeight="1"/>
    <row r="578" ht="15.8" customHeight="1"/>
    <row r="579" ht="15.8" customHeight="1"/>
    <row r="580" ht="15.8" customHeight="1"/>
    <row r="581" ht="15.8" customHeight="1"/>
    <row r="582" ht="15.8" customHeight="1"/>
    <row r="583" ht="15.8" customHeight="1"/>
    <row r="584" ht="15.8" customHeight="1"/>
    <row r="585" ht="15.8" customHeight="1"/>
    <row r="586" ht="15.8" customHeight="1"/>
    <row r="587" ht="15.8" customHeight="1"/>
    <row r="588" ht="15.8" customHeight="1"/>
    <row r="589" ht="15.8" customHeight="1"/>
    <row r="590" ht="15.8" customHeight="1"/>
    <row r="591" ht="15.8" customHeight="1"/>
    <row r="592" ht="15.8" customHeight="1"/>
    <row r="593" ht="15.8" customHeight="1"/>
    <row r="594" ht="15.8" customHeight="1"/>
    <row r="595" ht="15.8" customHeight="1"/>
    <row r="596" ht="15.8" customHeight="1"/>
    <row r="597" ht="15.8" customHeight="1"/>
    <row r="598" ht="15.8" customHeight="1"/>
    <row r="599" ht="15.8" customHeight="1"/>
    <row r="600" ht="15.8" customHeight="1"/>
    <row r="601" ht="15.8" customHeight="1"/>
    <row r="602" ht="15.8" customHeight="1"/>
    <row r="603" ht="15.8" customHeight="1"/>
    <row r="604" ht="15.8" customHeight="1"/>
    <row r="605" ht="15.8" customHeight="1"/>
    <row r="606" ht="15.8" customHeight="1"/>
    <row r="607" ht="15.8" customHeight="1"/>
    <row r="608" ht="15.8" customHeight="1"/>
    <row r="609" ht="15.8" customHeight="1"/>
    <row r="610" ht="15.8" customHeight="1"/>
    <row r="611" ht="15.8" customHeight="1"/>
    <row r="612" ht="15.8" customHeight="1"/>
    <row r="613" ht="15.8" customHeight="1"/>
    <row r="614" ht="15.8" customHeight="1"/>
    <row r="615" ht="15.8" customHeight="1"/>
    <row r="616" ht="15.8" customHeight="1"/>
    <row r="617" ht="15.8" customHeight="1"/>
    <row r="618" ht="15.8" customHeight="1"/>
    <row r="619" ht="15.8" customHeight="1"/>
    <row r="620" ht="15.8" customHeight="1"/>
    <row r="621" ht="15.8" customHeight="1"/>
    <row r="622" ht="15.8" customHeight="1"/>
    <row r="623" ht="15.8" customHeight="1"/>
    <row r="624" ht="15.8" customHeight="1"/>
    <row r="625" ht="15.8" customHeight="1"/>
    <row r="626" ht="15.8" customHeight="1"/>
    <row r="627" ht="15.8" customHeight="1"/>
    <row r="628" ht="15.8" customHeight="1"/>
    <row r="629" ht="15.8" customHeight="1"/>
    <row r="630" ht="15.8" customHeight="1"/>
    <row r="631" ht="15.8" customHeight="1"/>
    <row r="632" ht="15.8" customHeight="1"/>
    <row r="633" ht="15.8" customHeight="1"/>
    <row r="634" ht="15.8" customHeight="1"/>
    <row r="635" ht="15.8" customHeight="1"/>
    <row r="636" ht="15.8" customHeight="1"/>
    <row r="637" ht="15.8" customHeight="1"/>
    <row r="638" ht="15.8" customHeight="1"/>
    <row r="639" ht="15.8" customHeight="1"/>
    <row r="640" ht="15.8" customHeight="1"/>
    <row r="641" ht="15.8" customHeight="1"/>
    <row r="642" ht="15.8" customHeight="1"/>
    <row r="643" ht="15.8" customHeight="1"/>
    <row r="644" ht="15.8" customHeight="1"/>
    <row r="645" ht="15.8" customHeight="1"/>
    <row r="646" ht="15.8" customHeight="1"/>
    <row r="647" ht="15.8" customHeight="1"/>
    <row r="648" ht="15.8" customHeight="1"/>
    <row r="649" ht="15.8" customHeight="1"/>
    <row r="650" ht="15.8" customHeight="1"/>
    <row r="651" ht="15.8" customHeight="1"/>
    <row r="652" ht="15.8" customHeight="1"/>
    <row r="653" ht="15.8" customHeight="1"/>
    <row r="654" ht="15.8" customHeight="1"/>
    <row r="655" ht="15.8" customHeight="1"/>
    <row r="656" ht="15.8" customHeight="1"/>
    <row r="657" ht="15.8" customHeight="1"/>
    <row r="658" ht="15.8" customHeight="1"/>
    <row r="659" ht="15.8" customHeight="1"/>
    <row r="660" ht="15.8" customHeight="1"/>
    <row r="661" ht="15.8" customHeight="1"/>
    <row r="662" ht="15.8" customHeight="1"/>
    <row r="663" ht="15.8" customHeight="1"/>
    <row r="664" ht="15.8" customHeight="1"/>
    <row r="665" ht="15.8" customHeight="1"/>
    <row r="666" ht="15.8" customHeight="1"/>
    <row r="667" ht="15.8" customHeight="1"/>
    <row r="668" ht="15.8" customHeight="1"/>
    <row r="669" ht="15.8" customHeight="1"/>
    <row r="670" ht="15.8" customHeight="1"/>
    <row r="671" ht="15.8" customHeight="1"/>
    <row r="672" ht="15.8" customHeight="1"/>
    <row r="673" ht="15.8" customHeight="1"/>
    <row r="674" ht="15.8" customHeight="1"/>
    <row r="675" ht="15.8" customHeight="1"/>
    <row r="676" ht="15.8" customHeight="1"/>
    <row r="677" ht="15.8" customHeight="1"/>
    <row r="678" ht="15.8" customHeight="1"/>
    <row r="679" ht="15.8" customHeight="1"/>
    <row r="680" ht="15.8" customHeight="1"/>
    <row r="681" ht="15.8" customHeight="1"/>
    <row r="682" ht="15.8" customHeight="1"/>
    <row r="683" ht="15.8" customHeight="1"/>
    <row r="684" ht="15.8" customHeight="1"/>
    <row r="685" ht="15.8" customHeight="1"/>
    <row r="686" ht="15.8" customHeight="1"/>
    <row r="687" ht="15.8" customHeight="1"/>
    <row r="688" ht="15.8" customHeight="1"/>
    <row r="689" ht="15.8" customHeight="1"/>
    <row r="690" ht="15.8" customHeight="1"/>
    <row r="691" ht="15.8" customHeight="1"/>
    <row r="692" ht="15.8" customHeight="1"/>
    <row r="693" ht="15.8" customHeight="1"/>
    <row r="694" ht="15.8" customHeight="1"/>
    <row r="695" ht="15.8" customHeight="1"/>
    <row r="696" ht="15.8" customHeight="1"/>
    <row r="697" ht="15.8" customHeight="1"/>
    <row r="698" ht="15.8" customHeight="1"/>
    <row r="699" ht="15.8" customHeight="1"/>
    <row r="700" ht="15.8" customHeight="1"/>
    <row r="701" ht="15.8" customHeight="1"/>
    <row r="702" ht="15.8" customHeight="1"/>
    <row r="703" ht="15.8" customHeight="1"/>
    <row r="704" ht="15.8" customHeight="1"/>
    <row r="705" ht="15.8" customHeight="1"/>
    <row r="706" ht="15.8" customHeight="1"/>
    <row r="707" ht="15.8" customHeight="1"/>
    <row r="708" ht="15.8" customHeight="1"/>
    <row r="709" ht="15.8" customHeight="1"/>
    <row r="710" ht="15.8" customHeight="1"/>
    <row r="711" ht="15.8" customHeight="1"/>
    <row r="712" ht="15.8" customHeight="1"/>
    <row r="713" ht="15.8" customHeight="1"/>
    <row r="714" ht="15.8" customHeight="1"/>
    <row r="715" ht="15.8" customHeight="1"/>
    <row r="716" ht="15.8" customHeight="1"/>
    <row r="717" ht="15.8" customHeight="1"/>
    <row r="718" ht="15.8" customHeight="1"/>
    <row r="719" ht="15.8" customHeight="1"/>
    <row r="720" ht="15.8" customHeight="1"/>
    <row r="721" ht="15.8" customHeight="1"/>
    <row r="722" ht="15.8" customHeight="1"/>
    <row r="723" ht="15.8" customHeight="1"/>
    <row r="724" ht="15.8" customHeight="1"/>
    <row r="725" ht="15.8" customHeight="1"/>
    <row r="726" ht="15.8" customHeight="1"/>
    <row r="727" ht="15.8" customHeight="1"/>
    <row r="728" ht="15.8" customHeight="1"/>
    <row r="729" ht="15.8" customHeight="1"/>
    <row r="730" ht="15.8" customHeight="1"/>
    <row r="731" ht="15.8" customHeight="1"/>
    <row r="732" ht="15.8" customHeight="1"/>
    <row r="733" ht="15.8" customHeight="1"/>
    <row r="734" ht="15.8" customHeight="1"/>
    <row r="735" ht="15.8" customHeight="1"/>
    <row r="736" ht="15.8" customHeight="1"/>
    <row r="737" ht="15.8" customHeight="1"/>
    <row r="738" ht="15.8" customHeight="1"/>
    <row r="739" ht="15.8" customHeight="1"/>
    <row r="740" ht="15.8" customHeight="1"/>
    <row r="741" ht="15.8" customHeight="1"/>
    <row r="742" ht="15.8" customHeight="1"/>
    <row r="743" ht="15.8" customHeight="1"/>
    <row r="744" ht="15.8" customHeight="1"/>
    <row r="745" ht="15.8" customHeight="1"/>
    <row r="746" ht="15.8" customHeight="1"/>
    <row r="747" ht="15.8" customHeight="1"/>
    <row r="748" ht="15.8" customHeight="1"/>
    <row r="749" ht="15.8" customHeight="1"/>
    <row r="750" ht="15.8" customHeight="1"/>
    <row r="751" ht="15.8" customHeight="1"/>
    <row r="752" ht="15.8" customHeight="1"/>
    <row r="753" ht="15.8" customHeight="1"/>
    <row r="754" ht="15.8" customHeight="1"/>
    <row r="755" ht="15.8" customHeight="1"/>
    <row r="756" ht="15.8" customHeight="1"/>
    <row r="757" ht="15.8" customHeight="1"/>
    <row r="758" ht="15.8" customHeight="1"/>
    <row r="759" ht="15.8" customHeight="1"/>
    <row r="760" ht="15.8" customHeight="1"/>
    <row r="761" ht="15.8" customHeight="1"/>
    <row r="762" ht="15.8" customHeight="1"/>
    <row r="763" ht="15.8" customHeight="1"/>
    <row r="764" ht="15.8" customHeight="1"/>
    <row r="765" ht="15.8" customHeight="1"/>
    <row r="766" ht="15.8" customHeight="1"/>
    <row r="767" ht="15.8" customHeight="1"/>
    <row r="768" ht="15.8" customHeight="1"/>
    <row r="769" ht="15.8" customHeight="1"/>
    <row r="770" ht="15.8" customHeight="1"/>
    <row r="771" ht="15.8" customHeight="1"/>
    <row r="772" ht="15.8" customHeight="1"/>
    <row r="773" ht="15.8" customHeight="1"/>
    <row r="774" ht="15.8" customHeight="1"/>
    <row r="775" ht="15.8" customHeight="1"/>
    <row r="776" ht="15.8" customHeight="1"/>
    <row r="777" ht="15.8" customHeight="1"/>
    <row r="778" ht="15.8" customHeight="1"/>
    <row r="779" ht="15.8" customHeight="1"/>
    <row r="780" ht="15.8" customHeight="1"/>
    <row r="781" ht="15.8" customHeight="1"/>
    <row r="782" ht="15.8" customHeight="1"/>
    <row r="783" ht="15.8" customHeight="1"/>
    <row r="784" ht="15.8" customHeight="1"/>
    <row r="785" ht="15.8" customHeight="1"/>
    <row r="786" ht="15.8" customHeight="1"/>
    <row r="787" ht="15.8" customHeight="1"/>
    <row r="788" ht="15.8" customHeight="1"/>
    <row r="789" ht="15.8" customHeight="1"/>
    <row r="790" ht="15.8" customHeight="1"/>
    <row r="791" ht="15.8" customHeight="1"/>
    <row r="792" ht="15.8" customHeight="1"/>
    <row r="793" ht="15.8" customHeight="1"/>
    <row r="794" ht="15.8" customHeight="1"/>
    <row r="795" ht="15.8" customHeight="1"/>
    <row r="796" ht="15.8" customHeight="1"/>
    <row r="797" ht="15.8" customHeight="1"/>
    <row r="798" ht="15.8" customHeight="1"/>
    <row r="799" ht="15.8" customHeight="1"/>
    <row r="800" ht="15.8" customHeight="1"/>
    <row r="801" ht="15.8" customHeight="1"/>
    <row r="802" ht="15.8" customHeight="1"/>
    <row r="803" ht="15.8" customHeight="1"/>
    <row r="804" ht="15.8" customHeight="1"/>
    <row r="805" ht="15.8" customHeight="1"/>
    <row r="806" ht="15.8" customHeight="1"/>
    <row r="807" ht="15.8" customHeight="1"/>
    <row r="808" ht="15.8" customHeight="1"/>
    <row r="809" ht="15.8" customHeight="1"/>
    <row r="810" ht="15.8" customHeight="1"/>
    <row r="811" ht="15.8" customHeight="1"/>
    <row r="812" ht="15.8" customHeight="1"/>
    <row r="813" ht="15.8" customHeight="1"/>
    <row r="814" ht="15.8" customHeight="1"/>
    <row r="815" ht="15.8" customHeight="1"/>
    <row r="816" ht="15.8" customHeight="1"/>
    <row r="817" ht="15.8" customHeight="1"/>
    <row r="818" ht="15.8" customHeight="1"/>
    <row r="819" ht="15.8" customHeight="1"/>
    <row r="820" ht="15.8" customHeight="1"/>
    <row r="821" ht="15.8" customHeight="1"/>
    <row r="822" ht="15.8" customHeight="1"/>
    <row r="823" ht="15.8" customHeight="1"/>
    <row r="824" ht="15.8" customHeight="1"/>
    <row r="825" ht="15.8" customHeight="1"/>
    <row r="826" ht="15.8" customHeight="1"/>
    <row r="827" ht="15.8" customHeight="1"/>
    <row r="828" ht="15.8" customHeight="1"/>
    <row r="829" ht="15.8" customHeight="1"/>
    <row r="830" ht="15.8" customHeight="1"/>
    <row r="831" ht="15.8" customHeight="1"/>
    <row r="832" ht="15.8" customHeight="1"/>
    <row r="833" ht="15.8" customHeight="1"/>
    <row r="834" ht="15.8" customHeight="1"/>
    <row r="835" ht="15.8" customHeight="1"/>
    <row r="836" ht="15.8" customHeight="1"/>
    <row r="837" ht="15.8" customHeight="1"/>
    <row r="838" ht="15.8" customHeight="1"/>
    <row r="839" ht="15.8" customHeight="1"/>
    <row r="840" ht="15.8" customHeight="1"/>
    <row r="841" ht="15.8" customHeight="1"/>
    <row r="842" ht="15.8" customHeight="1"/>
    <row r="843" ht="15.8" customHeight="1"/>
    <row r="844" ht="15.8" customHeight="1"/>
    <row r="845" ht="15.8" customHeight="1"/>
    <row r="846" ht="15.8" customHeight="1"/>
    <row r="847" ht="15.8" customHeight="1"/>
    <row r="848" ht="15.8" customHeight="1"/>
    <row r="849" ht="15.8" customHeight="1"/>
    <row r="850" ht="15.8" customHeight="1"/>
    <row r="851" ht="15.8" customHeight="1"/>
    <row r="852" ht="15.8" customHeight="1"/>
    <row r="853" ht="15.8" customHeight="1"/>
    <row r="854" ht="15.8" customHeight="1"/>
    <row r="855" ht="15.8" customHeight="1"/>
    <row r="856" ht="15.8" customHeight="1"/>
    <row r="857" ht="15.8" customHeight="1"/>
    <row r="858" ht="15.8" customHeight="1"/>
    <row r="859" ht="15.8" customHeight="1"/>
    <row r="860" ht="15.8" customHeight="1"/>
    <row r="861" ht="15.8" customHeight="1"/>
    <row r="862" ht="15.8" customHeight="1"/>
    <row r="863" ht="15.8" customHeight="1"/>
    <row r="864" ht="15.8" customHeight="1"/>
    <row r="865" ht="15.8" customHeight="1"/>
    <row r="866" ht="15.8" customHeight="1"/>
    <row r="867" ht="15.8" customHeight="1"/>
    <row r="868" ht="15.8" customHeight="1"/>
    <row r="869" ht="15.8" customHeight="1"/>
    <row r="870" ht="15.8" customHeight="1"/>
    <row r="871" ht="15.8" customHeight="1"/>
    <row r="872" ht="15.8" customHeight="1"/>
    <row r="873" ht="15.8" customHeight="1"/>
    <row r="874" ht="15.8" customHeight="1"/>
    <row r="875" ht="15.8" customHeight="1"/>
    <row r="876" ht="15.8" customHeight="1"/>
    <row r="877" ht="15.8" customHeight="1"/>
    <row r="878" ht="15.8" customHeight="1"/>
    <row r="879" ht="15.8" customHeight="1"/>
    <row r="880" ht="15.8" customHeight="1"/>
    <row r="881" ht="15.8" customHeight="1"/>
    <row r="882" ht="15.8" customHeight="1"/>
    <row r="883" ht="15.8" customHeight="1"/>
    <row r="884" ht="15.8" customHeight="1"/>
    <row r="885" ht="15.8" customHeight="1"/>
    <row r="886" ht="15.8" customHeight="1"/>
    <row r="887" ht="15.8" customHeight="1"/>
    <row r="888" ht="15.8" customHeight="1"/>
    <row r="889" ht="15.8" customHeight="1"/>
    <row r="890" ht="15.8" customHeight="1"/>
    <row r="891" ht="15.8" customHeight="1"/>
    <row r="892" ht="15.8" customHeight="1"/>
    <row r="893" ht="15.8" customHeight="1"/>
    <row r="894" ht="15.8" customHeight="1"/>
    <row r="895" ht="15.8" customHeight="1"/>
    <row r="896" ht="15.8" customHeight="1"/>
    <row r="897" ht="15.8" customHeight="1"/>
    <row r="898" ht="15.8" customHeight="1"/>
    <row r="899" ht="15.8" customHeight="1"/>
    <row r="900" ht="15.8" customHeight="1"/>
    <row r="901" ht="15.8" customHeight="1"/>
    <row r="902" ht="15.8" customHeight="1"/>
    <row r="903" ht="15.8" customHeight="1"/>
    <row r="904" ht="15.8" customHeight="1"/>
    <row r="905" ht="15.8" customHeight="1"/>
    <row r="906" ht="15.8" customHeight="1"/>
    <row r="907" ht="15.8" customHeight="1"/>
    <row r="908" ht="15.8" customHeight="1"/>
    <row r="909" ht="15.8" customHeight="1"/>
    <row r="910" ht="15.8" customHeight="1"/>
    <row r="911" ht="15.8" customHeight="1"/>
    <row r="912" ht="15.8" customHeight="1"/>
    <row r="913" ht="15.8" customHeight="1"/>
    <row r="914" ht="15.8" customHeight="1"/>
    <row r="915" ht="15.8" customHeight="1"/>
    <row r="916" ht="15.8" customHeight="1"/>
    <row r="917" ht="15.8" customHeight="1"/>
    <row r="918" ht="15.8" customHeight="1"/>
    <row r="919" ht="15.8" customHeight="1"/>
    <row r="920" ht="15.8" customHeight="1"/>
    <row r="921" ht="15.8" customHeight="1"/>
    <row r="922" ht="15.8" customHeight="1"/>
    <row r="923" ht="15.8" customHeight="1"/>
    <row r="924" ht="15.8" customHeight="1"/>
    <row r="925" ht="15.8" customHeight="1"/>
    <row r="926" ht="15.8" customHeight="1"/>
    <row r="927" ht="15.8" customHeight="1"/>
    <row r="928" ht="15.8" customHeight="1"/>
    <row r="929" ht="15.8" customHeight="1"/>
    <row r="930" ht="15.8" customHeight="1"/>
    <row r="931" ht="15.8" customHeight="1"/>
    <row r="932" ht="15.8" customHeight="1"/>
    <row r="933" ht="15.8" customHeight="1"/>
    <row r="934" ht="15.8" customHeight="1"/>
    <row r="935" ht="15.8" customHeight="1"/>
    <row r="936" ht="15.8" customHeight="1"/>
    <row r="937" ht="15.8" customHeight="1"/>
    <row r="938" ht="15.8" customHeight="1"/>
    <row r="939" ht="15.8" customHeight="1"/>
    <row r="940" ht="15.8" customHeight="1"/>
    <row r="941" ht="15.8" customHeight="1"/>
    <row r="942" ht="15.8" customHeight="1"/>
    <row r="943" ht="15.8" customHeight="1"/>
    <row r="944" ht="15.8" customHeight="1"/>
    <row r="945" ht="15.8" customHeight="1"/>
    <row r="946" ht="15.8" customHeight="1"/>
    <row r="947" ht="15.8" customHeight="1"/>
    <row r="948" ht="15.8" customHeight="1"/>
    <row r="949" ht="15.8" customHeight="1"/>
    <row r="950" ht="15.8" customHeight="1"/>
    <row r="951" ht="15.8" customHeight="1"/>
    <row r="952" ht="15.8" customHeight="1"/>
    <row r="953" ht="15.8" customHeight="1"/>
    <row r="954" ht="15.8" customHeight="1"/>
    <row r="955" ht="15.8" customHeight="1"/>
    <row r="956" ht="15.8" customHeight="1"/>
    <row r="957" ht="15.8" customHeight="1"/>
    <row r="958" ht="15.8" customHeight="1"/>
    <row r="959" ht="15.8" customHeight="1"/>
    <row r="960" ht="15.8" customHeight="1"/>
    <row r="961" ht="15.8" customHeight="1"/>
    <row r="962" ht="15.8" customHeight="1"/>
    <row r="963" ht="15.8" customHeight="1"/>
    <row r="964" ht="15.8" customHeight="1"/>
    <row r="965" ht="15.8" customHeight="1"/>
    <row r="966" ht="15.8" customHeight="1"/>
    <row r="967" ht="15.8" customHeight="1"/>
    <row r="968" ht="15.8" customHeight="1"/>
    <row r="969" ht="15.8" customHeight="1"/>
    <row r="970" ht="15.8" customHeight="1"/>
    <row r="971" ht="15.8" customHeight="1"/>
    <row r="972" ht="15.8" customHeight="1"/>
    <row r="973" ht="15.8" customHeight="1"/>
    <row r="974" ht="15.8" customHeight="1"/>
    <row r="975" ht="15.8" customHeight="1"/>
    <row r="976" ht="15.8" customHeight="1"/>
    <row r="977" ht="15.8" customHeight="1"/>
    <row r="978" ht="15.8" customHeight="1"/>
    <row r="979" ht="15.8" customHeight="1"/>
    <row r="980" ht="15.8" customHeight="1"/>
    <row r="981" ht="15.8" customHeight="1"/>
    <row r="982" ht="15.8" customHeight="1"/>
    <row r="983" ht="15.8" customHeight="1"/>
    <row r="984" ht="15.8" customHeight="1"/>
    <row r="985" ht="15.8" customHeight="1"/>
    <row r="986" ht="15.8" customHeight="1"/>
    <row r="987" ht="15.8" customHeight="1"/>
    <row r="988" ht="15.8" customHeight="1"/>
    <row r="989" ht="15.8" customHeight="1"/>
    <row r="990" ht="15.8" customHeight="1"/>
    <row r="991" ht="15.8" customHeight="1"/>
    <row r="992" ht="15.8" customHeight="1"/>
    <row r="993" ht="15.8" customHeight="1"/>
    <row r="994" ht="15.8" customHeight="1"/>
    <row r="995" ht="15.8" customHeight="1"/>
    <row r="996" ht="15.8" customHeight="1"/>
    <row r="997" ht="15.8" customHeight="1"/>
    <row r="998" ht="15.8" customHeight="1"/>
    <row r="999" ht="15.8" customHeight="1"/>
  </sheetData>
  <sortState ref="A2:L999">
    <sortCondition ref="G2:G999"/>
    <sortCondition ref="H2:H999"/>
  </sortState>
  <customSheetViews>
    <customSheetView guid="{9692233C-0F2E-654E-8AC6-8C4CF1DC23E8}">
      <selection activeCell="G2" sqref="G2:H54"/>
      <pageMargins left="0.7" right="0.7" top="0.75" bottom="0.75" header="0.3" footer="0.3"/>
    </customSheetView>
    <customSheetView guid="{F88BE81C-8BBC-CE40-9183-746E883A9C1B}">
      <selection activeCell="G2" sqref="G2:H5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19"/>
  <sheetViews>
    <sheetView workbookViewId="0">
      <selection activeCell="E16" sqref="E16"/>
    </sheetView>
  </sheetViews>
  <sheetFormatPr defaultColWidth="8.875" defaultRowHeight="14.3"/>
  <cols>
    <col min="3" max="3" width="13.75" bestFit="1" customWidth="1"/>
    <col min="6" max="6" width="17.75" bestFit="1" customWidth="1"/>
  </cols>
  <sheetData>
    <row r="2" spans="1:10">
      <c r="A2" t="s">
        <v>42</v>
      </c>
      <c r="B2" t="s">
        <v>146</v>
      </c>
      <c r="C2" t="s">
        <v>147</v>
      </c>
      <c r="D2" t="s">
        <v>155</v>
      </c>
    </row>
    <row r="3" spans="1:10">
      <c r="A3" t="s">
        <v>42</v>
      </c>
      <c r="B3" t="s">
        <v>146</v>
      </c>
      <c r="C3" t="s">
        <v>147</v>
      </c>
      <c r="D3" t="s">
        <v>155</v>
      </c>
    </row>
    <row r="4" spans="1:10">
      <c r="A4" t="s">
        <v>42</v>
      </c>
      <c r="B4" t="s">
        <v>146</v>
      </c>
      <c r="C4" t="s">
        <v>147</v>
      </c>
      <c r="D4" t="s">
        <v>155</v>
      </c>
    </row>
    <row r="5" spans="1:10">
      <c r="A5" t="s">
        <v>42</v>
      </c>
      <c r="B5" t="s">
        <v>146</v>
      </c>
      <c r="C5" t="s">
        <v>147</v>
      </c>
      <c r="D5" t="s">
        <v>155</v>
      </c>
    </row>
    <row r="6" spans="1:10">
      <c r="A6" t="s">
        <v>42</v>
      </c>
      <c r="B6" t="s">
        <v>146</v>
      </c>
      <c r="C6" t="s">
        <v>147</v>
      </c>
      <c r="D6" t="s">
        <v>155</v>
      </c>
    </row>
    <row r="7" spans="1:10">
      <c r="A7" t="s">
        <v>42</v>
      </c>
      <c r="B7" t="s">
        <v>146</v>
      </c>
      <c r="C7" t="s">
        <v>147</v>
      </c>
      <c r="D7" t="s">
        <v>155</v>
      </c>
      <c r="G7" t="s">
        <v>26</v>
      </c>
      <c r="H7" t="s">
        <v>66</v>
      </c>
      <c r="I7" t="s">
        <v>203</v>
      </c>
      <c r="J7" t="s">
        <v>204</v>
      </c>
    </row>
    <row r="8" spans="1:10">
      <c r="A8" t="s">
        <v>42</v>
      </c>
      <c r="B8" t="s">
        <v>146</v>
      </c>
      <c r="C8" t="s">
        <v>147</v>
      </c>
      <c r="D8" t="s">
        <v>155</v>
      </c>
      <c r="G8" t="s">
        <v>42</v>
      </c>
      <c r="H8" t="s">
        <v>146</v>
      </c>
      <c r="I8" t="s">
        <v>147</v>
      </c>
      <c r="J8" t="s">
        <v>155</v>
      </c>
    </row>
    <row r="9" spans="1:10">
      <c r="A9" t="s">
        <v>42</v>
      </c>
      <c r="B9" t="s">
        <v>146</v>
      </c>
      <c r="C9" t="s">
        <v>147</v>
      </c>
      <c r="D9" t="s">
        <v>155</v>
      </c>
    </row>
    <row r="10" spans="1:10">
      <c r="A10" t="s">
        <v>42</v>
      </c>
      <c r="B10" t="s">
        <v>146</v>
      </c>
      <c r="C10" t="s">
        <v>147</v>
      </c>
      <c r="D10" t="s">
        <v>155</v>
      </c>
    </row>
    <row r="19" spans="6:6">
      <c r="F19">
        <f>COUNTIF(Sheet4!A2:A8,"Akram Ahmed")</f>
        <v>0</v>
      </c>
    </row>
  </sheetData>
  <customSheetViews>
    <customSheetView guid="{9692233C-0F2E-654E-8AC6-8C4CF1DC23E8}">
      <selection activeCell="E16" sqref="E16"/>
      <pageMargins left="0.7" right="0.7" top="0.75" bottom="0.75" header="0.3" footer="0.3"/>
      <pageSetup orientation="portrait" horizontalDpi="0" verticalDpi="0" r:id="rId1"/>
    </customSheetView>
    <customSheetView guid="{F88BE81C-8BBC-CE40-9183-746E883A9C1B}">
      <selection activeCell="E16" sqref="E16"/>
      <pageMargins left="0.7" right="0.7" top="0.75" bottom="0.75" header="0.3" footer="0.3"/>
      <pageSetup orientation="portrait" horizontalDpi="0" verticalDpi="0" r:id="rId2"/>
    </customSheetView>
  </customSheetViews>
  <pageMargins left="0.7" right="0.7" top="0.75" bottom="0.75" header="0.3" footer="0.3"/>
  <pageSetup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opyDataButton_Click" altText="Submit">
                <anchor moveWithCells="1" sizeWithCells="1">
                  <from>
                    <xdr:col>11</xdr:col>
                    <xdr:colOff>25879</xdr:colOff>
                    <xdr:row>7</xdr:row>
                    <xdr:rowOff>25879</xdr:rowOff>
                  </from>
                  <to>
                    <xdr:col>13</xdr:col>
                    <xdr:colOff>0</xdr:colOff>
                    <xdr:row>9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MasterSheet!$J$2:$J$19</xm:f>
          </x14:formula1>
          <xm:sqref>H8</xm:sqref>
        </x14:dataValidation>
        <x14:dataValidation type="list" allowBlank="1" showInputMessage="1" showErrorMessage="1" xr:uid="{00000000-0002-0000-0300-000002000000}">
          <x14:formula1>
            <xm:f>MasterSheet!$L$4:$L$10</xm:f>
          </x14:formula1>
          <xm:sqref>J8</xm:sqref>
        </x14:dataValidation>
        <x14:dataValidation type="list" allowBlank="1" showInputMessage="1" showErrorMessage="1" xr:uid="{00000000-0002-0000-0300-000003000000}">
          <x14:formula1>
            <xm:f>MasterSheet!$K$2:$K$8</xm:f>
          </x14:formula1>
          <xm:sqref>I8</xm:sqref>
        </x14:dataValidation>
        <x14:dataValidation type="list" allowBlank="1" showInputMessage="1" showErrorMessage="1" xr:uid="{00000000-0002-0000-0300-000000000000}">
          <x14:formula1>
            <xm:f>MasterSheet!$I$2:$I$33</xm:f>
          </x14:formula1>
          <xm:sqref>G8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G7" sqref="G7"/>
    </sheetView>
  </sheetViews>
  <sheetFormatPr defaultColWidth="8.875" defaultRowHeight="14.3"/>
  <cols>
    <col min="1" max="1" width="15" bestFit="1" customWidth="1"/>
    <col min="4" max="4" width="17.875" bestFit="1" customWidth="1"/>
  </cols>
  <sheetData/>
  <customSheetViews>
    <customSheetView guid="{9692233C-0F2E-654E-8AC6-8C4CF1DC23E8}">
      <selection activeCell="G7" sqref="G7"/>
      <pageMargins left="0.7" right="0.7" top="0.75" bottom="0.75" header="0.3" footer="0.3"/>
    </customSheetView>
    <customSheetView guid="{F88BE81C-8BBC-CE40-9183-746E883A9C1B}">
      <selection activeCell="G7" sqref="G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U384"/>
  <sheetViews>
    <sheetView tabSelected="1" topLeftCell="L22" zoomScaleNormal="90" workbookViewId="0">
      <selection activeCell="P29" sqref="P29:T29"/>
    </sheetView>
  </sheetViews>
  <sheetFormatPr defaultColWidth="8.875" defaultRowHeight="14.3"/>
  <cols>
    <col min="1" max="2" width="8.875" style="40" customWidth="1"/>
    <col min="3" max="3" width="19" customWidth="1"/>
    <col min="4" max="4" width="8.875" customWidth="1"/>
    <col min="5" max="5" width="18.375" customWidth="1"/>
    <col min="6" max="6" width="10.75" customWidth="1"/>
    <col min="7" max="7" width="7.875" customWidth="1"/>
    <col min="8" max="8" width="16.75" customWidth="1"/>
    <col min="9" max="9" width="8.875" customWidth="1"/>
    <col min="10" max="10" width="20.875" customWidth="1"/>
    <col min="11" max="11" width="21.125" customWidth="1"/>
    <col min="12" max="12" width="21.75" customWidth="1"/>
    <col min="13" max="13" width="25.125" customWidth="1"/>
    <col min="14" max="14" width="25.125" style="40" customWidth="1"/>
    <col min="15" max="15" width="28.875" style="40" bestFit="1" customWidth="1"/>
    <col min="16" max="16" width="24.375" bestFit="1" customWidth="1"/>
    <col min="17" max="17" width="11.75" bestFit="1" customWidth="1"/>
    <col min="19" max="19" width="21.375" customWidth="1"/>
    <col min="20" max="20" width="19" customWidth="1"/>
    <col min="21" max="21" width="21.375" customWidth="1"/>
    <col min="22" max="22" width="22.375" customWidth="1"/>
    <col min="23" max="23" width="17.75" customWidth="1"/>
    <col min="24" max="24" width="15.375" customWidth="1"/>
    <col min="25" max="25" width="26.375" customWidth="1"/>
    <col min="26" max="26" width="50.125" customWidth="1"/>
    <col min="27" max="27" width="32.25" customWidth="1"/>
    <col min="28" max="28" width="28.875" customWidth="1"/>
    <col min="29" max="29" width="29.875" customWidth="1"/>
    <col min="30" max="31" width="8.875" customWidth="1"/>
    <col min="32" max="99" width="8.875" style="40"/>
  </cols>
  <sheetData>
    <row r="1" spans="3:28">
      <c r="C1" t="s">
        <v>200</v>
      </c>
      <c r="D1" t="s">
        <v>21</v>
      </c>
      <c r="E1" t="s">
        <v>20</v>
      </c>
      <c r="F1" t="s">
        <v>19</v>
      </c>
      <c r="G1" t="s">
        <v>213</v>
      </c>
      <c r="H1" t="s">
        <v>214</v>
      </c>
      <c r="I1" t="s">
        <v>18</v>
      </c>
      <c r="J1" t="s">
        <v>205</v>
      </c>
      <c r="K1" t="s">
        <v>71</v>
      </c>
      <c r="L1" t="s">
        <v>72</v>
      </c>
      <c r="M1" t="s">
        <v>215</v>
      </c>
      <c r="O1" s="40" t="s">
        <v>216</v>
      </c>
      <c r="P1" t="s">
        <v>217</v>
      </c>
      <c r="Q1" t="s">
        <v>218</v>
      </c>
      <c r="T1" t="s">
        <v>206</v>
      </c>
      <c r="U1" t="s">
        <v>207</v>
      </c>
      <c r="V1" t="s">
        <v>208</v>
      </c>
      <c r="W1" t="s">
        <v>223</v>
      </c>
      <c r="X1" t="s">
        <v>224</v>
      </c>
      <c r="Y1" t="s">
        <v>229</v>
      </c>
      <c r="Z1" t="s">
        <v>232</v>
      </c>
      <c r="AA1" t="s">
        <v>233</v>
      </c>
    </row>
    <row r="2" spans="3:28" ht="15.65">
      <c r="C2">
        <v>1</v>
      </c>
      <c r="D2">
        <v>4</v>
      </c>
      <c r="E2" t="s">
        <v>25</v>
      </c>
      <c r="F2" t="s">
        <v>24</v>
      </c>
      <c r="G2">
        <f>IF(F2="FT",4,IF(F2="Adjunct",2,))</f>
        <v>4</v>
      </c>
      <c r="H2" s="21">
        <f t="shared" ref="H2:H33" si="0">G2-COUNTIF(ProfessorClass,I2)</f>
        <v>4</v>
      </c>
      <c r="I2" t="s">
        <v>23</v>
      </c>
      <c r="J2" s="6" t="s">
        <v>152</v>
      </c>
      <c r="K2" s="26" t="s">
        <v>79</v>
      </c>
      <c r="L2" s="6" t="s">
        <v>159</v>
      </c>
      <c r="M2">
        <v>21</v>
      </c>
      <c r="O2" s="40" t="s">
        <v>79</v>
      </c>
      <c r="P2" s="18" t="s">
        <v>219</v>
      </c>
      <c r="Q2" t="s">
        <v>220</v>
      </c>
      <c r="R2" s="6"/>
      <c r="T2">
        <v>28</v>
      </c>
      <c r="U2">
        <v>3</v>
      </c>
      <c r="V2">
        <v>2</v>
      </c>
      <c r="W2">
        <v>2</v>
      </c>
      <c r="X2">
        <f>(V2*V2)*W2</f>
        <v>8</v>
      </c>
    </row>
    <row r="3" spans="3:28" ht="15.65">
      <c r="C3">
        <v>1</v>
      </c>
      <c r="D3">
        <v>6</v>
      </c>
      <c r="E3" t="s">
        <v>49</v>
      </c>
      <c r="F3" t="s">
        <v>37</v>
      </c>
      <c r="G3">
        <f t="shared" ref="G3:G20" si="1">IF(F3="FT",4,IF(F3="Adjunct",2,))</f>
        <v>2</v>
      </c>
      <c r="H3" s="21">
        <f t="shared" si="0"/>
        <v>2</v>
      </c>
      <c r="I3" t="s">
        <v>54</v>
      </c>
      <c r="J3" s="6" t="s">
        <v>146</v>
      </c>
      <c r="K3" s="27" t="s">
        <v>96</v>
      </c>
      <c r="L3" s="6" t="s">
        <v>161</v>
      </c>
      <c r="M3">
        <v>22</v>
      </c>
      <c r="O3" s="40" t="s">
        <v>96</v>
      </c>
      <c r="P3" s="18" t="s">
        <v>219</v>
      </c>
      <c r="Q3" t="s">
        <v>220</v>
      </c>
      <c r="R3" s="6"/>
      <c r="T3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Tamara Babaian</v>
      </c>
      <c r="U3" t="str">
        <f>IF(U2=1,"CS 603",IF(U2=2,"CS 605",IF(U2=3,"CS 607",IF(U2=4,"CS 610",IF(U2=5,"CS 620",IF(U2=6,"CS 630",IF(U2=7,"CS 650",IF(U2=8,"CS 680",))))))))</f>
        <v>CS 607</v>
      </c>
      <c r="V3" t="str">
        <f>IF(V2=1,"M",IF(V2=2,"T",IF(V2=3,"W",IF(V2=4,"R",IF(V2=5,"TR",IF(V2=6,"TF",IF(V2=7,"MW",IF(V2=8,"MR",))))))))</f>
        <v>T</v>
      </c>
      <c r="W3" t="str">
        <f>IF(W2=1,"05:00PM - 07:20PM",IF(W2=2,"07:30PM - 9:50PM"))</f>
        <v>07:30PM - 9:50PM</v>
      </c>
      <c r="Y3">
        <f>IF(T2=1,H2,IF(T2=2,H3,IF(T2=3,H4,IF(T2=4,H5,IF(T2=5,H6,IF(T2=6,H7,IF(T2=7,H8,IF(T2=8,H9,IF(T2=9,H10,IF(T2=10,H11,IF(T2=11,H12,IF(T2=12,H13,IF(T2=13,H14,IF(T2=14,H15,IF(T2=15,H16,IF(T2=16,H17, IF(T2=17, H18, IF(T2=18,H19, IF(T2=19,H20,IF(T2=20,H21,IF(T2=21,H22,IF(T2=22,H23,IF(T2=23, H24,IF(T2=24,H25,IF(T2=25,H26,IF(T2=26,H27, IF(T2=27,H28, IF(T2=28,H29,IF(T2=29,H30,IF(T2=30,H31,IF(T2=31,H32,IF(T2=32,H33,))))))))))))))))))))))))))))))))</f>
        <v>2</v>
      </c>
      <c r="Z3" t="b">
        <f>IF((COUNTIF($Z$26:$Z$89,CONCATENATE($T$3,$U$3,$V$3,$W$3)))&gt;=1,TRUE,FALSE)</f>
        <v>0</v>
      </c>
      <c r="AA3">
        <f>IF(V3="M",COUNTIF(AA26:AA89,_xlfn.CONCAT(T3,V3,W3))+COUNTIF(AA26:AA89,_xlfn.CONCAT(T3,"MW",W3))+COUNTIF(AA26:AA89,_xlfn.CONCAT(T3,"MR",W3)),IF(V3="MW",COUNTIF(AA26:AA89,_xlfn.CONCAT(T3,V3,W3))+COUNTIF(AA26:AA89,_xlfn.CONCAT(T3,"M",W3))+COUNTIF(AA26:AA89,_xlfn.CONCAT(T3,"MR",W3))+COUNTIF(AA26:AA89,_xlfn.CONCAT(T3,"W",W3)),IF(V3="MR",COUNTIF(AA26:AA89,_xlfn.CONCAT(T3,V3,W3))+COUNTIF(AA26:AA89,_xlfn.CONCAT(T3,"M",W3))+COUNTIF(AA26:AA89,_xlfn.CONCAT(T3,"MW",W3))+COUNTIF(AA26:AA89,_xlfn.CONCAT(T3,"TR",W3)),IF(V3="T",COUNTIF(AA26:AA89,_xlfn.CONCAT(T3,V3,W3))+COUNTIF(AA26:AA89,_xlfn.CONCAT(T3,"TR",W3))+COUNTIF(AA26:AA89,_xlfn.CONCAT(T3,"TF",W3)),IF(V3="TR",COUNTIF(AA26:AA89,_xlfn.CONCAT(T3,V3,W3))+COUNTIF(AA26:AA89,_xlfn.CONCAT(T3,"T",W3))+COUNTIF(AA26:AA89,_xlfn.CONCAT(T3,"TF",W3))+COUNTIF(AA26:AA89,_xlfn.CONCAT(T3,"R",W3)),IF(V3="TF",COUNTIF(AA26:AA89,_xlfn.CONCAT(T3,V3,W3))+COUNTIF(AA26:AA89,_xlfn.CONCAT(T3,"T",W3))+COUNTIF(AA26:AA89,_xlfn.CONCAT(T3,"TR",W3)),IF(V3="W",COUNTIF(AA26:AA89,_xlfn.CONCAT(T3,V3,W3))+COUNTIF(AA26:AA89,_xlfn.CONCAT(T3,"MW",W3)),IF(V3="R",COUNTIF(AA26:AA89,_xlfn.CONCAT(T3,V3,W3))+COUNTIF(AA26:AA89,_xlfn.CONCAT(T3,"MR",W3))+COUNTIF(AA26:AA89,_xlfn.CONCAT(T3,"TR",W3)),FALSE))))))))</f>
        <v>1</v>
      </c>
    </row>
    <row r="4" spans="3:28" ht="15.65">
      <c r="C4">
        <v>1</v>
      </c>
      <c r="D4">
        <v>6</v>
      </c>
      <c r="E4" t="s">
        <v>49</v>
      </c>
      <c r="F4" t="s">
        <v>37</v>
      </c>
      <c r="G4">
        <f t="shared" si="1"/>
        <v>2</v>
      </c>
      <c r="H4" s="21">
        <f t="shared" si="0"/>
        <v>2</v>
      </c>
      <c r="I4" t="s">
        <v>57</v>
      </c>
      <c r="J4" s="6" t="s">
        <v>168</v>
      </c>
      <c r="K4" s="27" t="s">
        <v>101</v>
      </c>
      <c r="L4" s="6" t="s">
        <v>186</v>
      </c>
      <c r="M4">
        <v>23</v>
      </c>
      <c r="O4" s="40" t="s">
        <v>101</v>
      </c>
      <c r="P4" s="18" t="s">
        <v>219</v>
      </c>
      <c r="Q4" t="s">
        <v>220</v>
      </c>
      <c r="R4" s="6"/>
      <c r="T4">
        <v>9</v>
      </c>
      <c r="U4">
        <v>9</v>
      </c>
      <c r="V4">
        <v>1</v>
      </c>
      <c r="W4">
        <v>9</v>
      </c>
      <c r="X4">
        <v>9</v>
      </c>
    </row>
    <row r="5" spans="3:28" ht="15.65">
      <c r="C5">
        <v>1</v>
      </c>
      <c r="D5">
        <v>6</v>
      </c>
      <c r="E5" t="s">
        <v>49</v>
      </c>
      <c r="F5" t="s">
        <v>37</v>
      </c>
      <c r="G5">
        <f t="shared" si="1"/>
        <v>2</v>
      </c>
      <c r="H5" s="21">
        <f t="shared" si="0"/>
        <v>2</v>
      </c>
      <c r="I5" t="s">
        <v>51</v>
      </c>
      <c r="J5" s="6" t="s">
        <v>138</v>
      </c>
      <c r="K5" s="26" t="s">
        <v>86</v>
      </c>
      <c r="L5" s="6" t="s">
        <v>142</v>
      </c>
      <c r="M5">
        <v>24</v>
      </c>
      <c r="O5" s="40" t="s">
        <v>86</v>
      </c>
      <c r="P5" s="18" t="s">
        <v>219</v>
      </c>
      <c r="Q5" t="s">
        <v>220</v>
      </c>
      <c r="R5" s="6"/>
    </row>
    <row r="6" spans="3:28" ht="15.65">
      <c r="C6">
        <v>1</v>
      </c>
      <c r="D6">
        <v>1</v>
      </c>
      <c r="E6" t="s">
        <v>26</v>
      </c>
      <c r="F6" t="s">
        <v>24</v>
      </c>
      <c r="G6">
        <f t="shared" si="1"/>
        <v>4</v>
      </c>
      <c r="H6" s="21">
        <f t="shared" si="0"/>
        <v>4</v>
      </c>
      <c r="I6" t="s">
        <v>42</v>
      </c>
      <c r="J6" s="6" t="s">
        <v>143</v>
      </c>
      <c r="K6" s="6" t="s">
        <v>181</v>
      </c>
      <c r="L6" s="6" t="s">
        <v>127</v>
      </c>
      <c r="M6">
        <v>25</v>
      </c>
      <c r="O6" s="40" t="s">
        <v>79</v>
      </c>
      <c r="P6" s="18" t="s">
        <v>220</v>
      </c>
      <c r="Q6" t="s">
        <v>221</v>
      </c>
      <c r="R6" s="6"/>
      <c r="S6" t="s">
        <v>230</v>
      </c>
    </row>
    <row r="7" spans="3:28" ht="15.65">
      <c r="C7">
        <v>1</v>
      </c>
      <c r="D7">
        <v>4</v>
      </c>
      <c r="E7" t="s">
        <v>25</v>
      </c>
      <c r="F7" t="s">
        <v>24</v>
      </c>
      <c r="G7">
        <f t="shared" si="1"/>
        <v>4</v>
      </c>
      <c r="H7" s="21">
        <f t="shared" si="0"/>
        <v>4</v>
      </c>
      <c r="I7" t="s">
        <v>44</v>
      </c>
      <c r="J7" s="6" t="s">
        <v>149</v>
      </c>
      <c r="K7" s="6" t="s">
        <v>167</v>
      </c>
      <c r="L7" s="6" t="s">
        <v>148</v>
      </c>
      <c r="M7">
        <v>26</v>
      </c>
      <c r="O7" s="40" t="s">
        <v>96</v>
      </c>
      <c r="P7" s="18" t="s">
        <v>220</v>
      </c>
      <c r="Q7" t="s">
        <v>221</v>
      </c>
      <c r="R7" s="6"/>
    </row>
    <row r="8" spans="3:28" ht="15.65">
      <c r="C8">
        <v>1</v>
      </c>
      <c r="D8">
        <v>6</v>
      </c>
      <c r="E8" t="s">
        <v>49</v>
      </c>
      <c r="F8" t="s">
        <v>37</v>
      </c>
      <c r="G8">
        <f t="shared" si="1"/>
        <v>2</v>
      </c>
      <c r="H8" s="21">
        <f t="shared" si="0"/>
        <v>2</v>
      </c>
      <c r="I8" t="s">
        <v>64</v>
      </c>
      <c r="J8" s="6" t="s">
        <v>165</v>
      </c>
      <c r="K8" s="6" t="s">
        <v>147</v>
      </c>
      <c r="L8" s="6" t="s">
        <v>155</v>
      </c>
      <c r="M8">
        <v>27</v>
      </c>
      <c r="O8" s="40" t="s">
        <v>101</v>
      </c>
      <c r="P8" s="18" t="s">
        <v>220</v>
      </c>
      <c r="Q8" t="s">
        <v>221</v>
      </c>
      <c r="R8" s="6"/>
    </row>
    <row r="9" spans="3:28" ht="15.65">
      <c r="C9">
        <v>1</v>
      </c>
      <c r="D9">
        <v>6</v>
      </c>
      <c r="E9" t="s">
        <v>49</v>
      </c>
      <c r="F9" t="s">
        <v>37</v>
      </c>
      <c r="G9">
        <f t="shared" si="1"/>
        <v>2</v>
      </c>
      <c r="H9" s="21">
        <f t="shared" si="0"/>
        <v>2</v>
      </c>
      <c r="I9" t="s">
        <v>61</v>
      </c>
      <c r="J9" s="6" t="s">
        <v>198</v>
      </c>
      <c r="K9" s="6" t="s">
        <v>126</v>
      </c>
      <c r="L9" s="6" t="s">
        <v>190</v>
      </c>
      <c r="M9">
        <v>28</v>
      </c>
      <c r="O9" s="40" t="s">
        <v>86</v>
      </c>
      <c r="P9" s="18" t="s">
        <v>220</v>
      </c>
      <c r="Q9" t="s">
        <v>221</v>
      </c>
      <c r="R9" s="6"/>
      <c r="AB9" s="6" t="s">
        <v>79</v>
      </c>
    </row>
    <row r="10" spans="3:28" ht="15.65">
      <c r="C10">
        <v>1</v>
      </c>
      <c r="D10">
        <v>6</v>
      </c>
      <c r="E10" t="s">
        <v>49</v>
      </c>
      <c r="F10" t="s">
        <v>37</v>
      </c>
      <c r="G10">
        <f t="shared" si="1"/>
        <v>2</v>
      </c>
      <c r="H10" s="21">
        <f t="shared" si="0"/>
        <v>2</v>
      </c>
      <c r="I10" t="s">
        <v>59</v>
      </c>
      <c r="J10" s="6" t="s">
        <v>171</v>
      </c>
      <c r="K10" s="6"/>
      <c r="L10" s="26" t="s">
        <v>15</v>
      </c>
      <c r="M10" s="6"/>
      <c r="N10" s="41"/>
      <c r="AB10" s="6" t="s">
        <v>147</v>
      </c>
    </row>
    <row r="11" spans="3:28" ht="15.65">
      <c r="C11">
        <v>1</v>
      </c>
      <c r="D11">
        <v>2</v>
      </c>
      <c r="E11" t="s">
        <v>28</v>
      </c>
      <c r="F11" t="s">
        <v>24</v>
      </c>
      <c r="G11">
        <f t="shared" si="1"/>
        <v>4</v>
      </c>
      <c r="H11" s="21">
        <f t="shared" si="0"/>
        <v>4</v>
      </c>
      <c r="I11" t="s">
        <v>47</v>
      </c>
      <c r="J11" s="6" t="s">
        <v>182</v>
      </c>
      <c r="K11" s="6"/>
      <c r="L11" s="26" t="s">
        <v>16</v>
      </c>
      <c r="M11" s="6"/>
      <c r="N11" s="41"/>
      <c r="AB11" s="6" t="s">
        <v>126</v>
      </c>
    </row>
    <row r="12" spans="3:28" ht="15.65">
      <c r="C12">
        <v>1</v>
      </c>
      <c r="D12">
        <v>6</v>
      </c>
      <c r="E12" t="s">
        <v>49</v>
      </c>
      <c r="F12" t="s">
        <v>37</v>
      </c>
      <c r="G12">
        <f t="shared" si="1"/>
        <v>2</v>
      </c>
      <c r="H12" s="21">
        <f t="shared" si="0"/>
        <v>2</v>
      </c>
      <c r="I12" t="s">
        <v>48</v>
      </c>
      <c r="J12" s="6" t="s">
        <v>89</v>
      </c>
      <c r="K12" s="19" t="s">
        <v>227</v>
      </c>
      <c r="L12" s="19" t="s">
        <v>228</v>
      </c>
      <c r="AB12" s="6" t="s">
        <v>96</v>
      </c>
    </row>
    <row r="13" spans="3:28" ht="15.65">
      <c r="C13">
        <v>1</v>
      </c>
      <c r="D13">
        <v>5</v>
      </c>
      <c r="E13" t="s">
        <v>34</v>
      </c>
      <c r="F13" t="s">
        <v>24</v>
      </c>
      <c r="G13">
        <f t="shared" si="1"/>
        <v>4</v>
      </c>
      <c r="H13" s="21">
        <f t="shared" si="0"/>
        <v>4</v>
      </c>
      <c r="I13" t="s">
        <v>39</v>
      </c>
      <c r="J13" s="6" t="s">
        <v>76</v>
      </c>
      <c r="K13" s="19">
        <v>1</v>
      </c>
      <c r="L13" s="6">
        <v>7</v>
      </c>
      <c r="AB13" s="6" t="s">
        <v>181</v>
      </c>
    </row>
    <row r="14" spans="3:28" ht="15.65">
      <c r="C14">
        <v>1</v>
      </c>
      <c r="D14">
        <v>6</v>
      </c>
      <c r="E14" t="s">
        <v>49</v>
      </c>
      <c r="F14" t="s">
        <v>37</v>
      </c>
      <c r="G14">
        <f t="shared" si="1"/>
        <v>2</v>
      </c>
      <c r="H14" s="21">
        <f t="shared" si="0"/>
        <v>2</v>
      </c>
      <c r="I14" t="s">
        <v>60</v>
      </c>
      <c r="J14" s="6" t="s">
        <v>202</v>
      </c>
      <c r="K14" s="19">
        <v>4</v>
      </c>
      <c r="L14" s="6">
        <v>9</v>
      </c>
      <c r="AB14" s="6" t="s">
        <v>167</v>
      </c>
    </row>
    <row r="15" spans="3:28" ht="15.65">
      <c r="C15">
        <v>1</v>
      </c>
      <c r="D15">
        <v>1</v>
      </c>
      <c r="E15" t="s">
        <v>26</v>
      </c>
      <c r="F15" t="s">
        <v>24</v>
      </c>
      <c r="G15">
        <f t="shared" si="1"/>
        <v>4</v>
      </c>
      <c r="H15" s="21">
        <f t="shared" si="0"/>
        <v>4</v>
      </c>
      <c r="I15" t="s">
        <v>43</v>
      </c>
      <c r="J15" s="6" t="s">
        <v>94</v>
      </c>
      <c r="K15" s="19">
        <v>7</v>
      </c>
      <c r="AB15" s="6" t="s">
        <v>101</v>
      </c>
    </row>
    <row r="16" spans="3:28" ht="15.65">
      <c r="C16">
        <v>1</v>
      </c>
      <c r="D16">
        <v>4</v>
      </c>
      <c r="E16" t="s">
        <v>25</v>
      </c>
      <c r="F16" t="s">
        <v>24</v>
      </c>
      <c r="G16">
        <f t="shared" si="1"/>
        <v>4</v>
      </c>
      <c r="H16" s="21">
        <f t="shared" si="0"/>
        <v>4</v>
      </c>
      <c r="I16" t="s">
        <v>41</v>
      </c>
      <c r="J16" s="6" t="s">
        <v>83</v>
      </c>
      <c r="K16" s="19">
        <v>8</v>
      </c>
      <c r="AB16" s="6" t="s">
        <v>86</v>
      </c>
    </row>
    <row r="17" spans="3:33" ht="15.65">
      <c r="C17">
        <v>1</v>
      </c>
      <c r="D17">
        <v>2</v>
      </c>
      <c r="E17" t="s">
        <v>28</v>
      </c>
      <c r="F17" t="s">
        <v>24</v>
      </c>
      <c r="G17">
        <f t="shared" si="1"/>
        <v>4</v>
      </c>
      <c r="H17" s="21">
        <f t="shared" si="0"/>
        <v>4</v>
      </c>
      <c r="I17" t="s">
        <v>30</v>
      </c>
      <c r="J17" s="6" t="s">
        <v>97</v>
      </c>
    </row>
    <row r="18" spans="3:33" ht="15.65">
      <c r="C18">
        <v>1</v>
      </c>
      <c r="D18">
        <v>2</v>
      </c>
      <c r="E18" t="s">
        <v>28</v>
      </c>
      <c r="F18" t="s">
        <v>24</v>
      </c>
      <c r="G18">
        <f t="shared" si="1"/>
        <v>4</v>
      </c>
      <c r="H18" s="21">
        <f t="shared" si="0"/>
        <v>4</v>
      </c>
      <c r="I18" t="s">
        <v>46</v>
      </c>
      <c r="J18" s="6" t="s">
        <v>109</v>
      </c>
      <c r="K18" s="19"/>
      <c r="L18" t="str">
        <f>IF(G5-COUNTIF(ProfessorClass,I5)&lt;0,"TooMany","Fine")</f>
        <v>Fine</v>
      </c>
    </row>
    <row r="19" spans="3:33" ht="15.65">
      <c r="C19">
        <v>1</v>
      </c>
      <c r="D19">
        <v>6</v>
      </c>
      <c r="E19" t="s">
        <v>49</v>
      </c>
      <c r="F19" t="s">
        <v>37</v>
      </c>
      <c r="G19">
        <f t="shared" si="1"/>
        <v>2</v>
      </c>
      <c r="H19" s="21">
        <f t="shared" si="0"/>
        <v>2</v>
      </c>
      <c r="I19" t="s">
        <v>53</v>
      </c>
      <c r="J19" s="6" t="s">
        <v>104</v>
      </c>
      <c r="K19" s="19"/>
    </row>
    <row r="20" spans="3:33" s="40" customFormat="1" ht="47.05" customHeight="1">
      <c r="C20" s="16">
        <v>1</v>
      </c>
      <c r="D20" s="16">
        <v>6</v>
      </c>
      <c r="E20" s="16" t="s">
        <v>49</v>
      </c>
      <c r="F20" s="16" t="s">
        <v>37</v>
      </c>
      <c r="G20" s="16">
        <f t="shared" si="1"/>
        <v>2</v>
      </c>
      <c r="H20" s="22">
        <f t="shared" si="0"/>
        <v>2</v>
      </c>
      <c r="I20" s="16" t="s">
        <v>56</v>
      </c>
      <c r="J20" s="16"/>
      <c r="K20" s="41"/>
      <c r="L20" s="41"/>
      <c r="M20" s="41"/>
      <c r="N20" s="41"/>
    </row>
    <row r="21" spans="3:33" s="40" customFormat="1" ht="47.05" customHeight="1">
      <c r="C21">
        <v>1</v>
      </c>
      <c r="D21">
        <v>1</v>
      </c>
      <c r="E21" t="s">
        <v>26</v>
      </c>
      <c r="F21" t="s">
        <v>24</v>
      </c>
      <c r="G21">
        <f t="shared" ref="G21:G33" si="2">IF(F21="FT",4,IF(F21="Adjunct",2,))</f>
        <v>4</v>
      </c>
      <c r="H21" s="21">
        <f t="shared" si="0"/>
        <v>4</v>
      </c>
      <c r="I21" t="s">
        <v>45</v>
      </c>
      <c r="J21"/>
      <c r="K21" s="41"/>
      <c r="L21" s="41"/>
      <c r="M21" s="41"/>
      <c r="N21" s="41"/>
    </row>
    <row r="22" spans="3:33" s="40" customFormat="1" ht="47.05" customHeight="1">
      <c r="C22">
        <v>1</v>
      </c>
      <c r="D22">
        <v>4</v>
      </c>
      <c r="E22" t="s">
        <v>25</v>
      </c>
      <c r="F22" t="s">
        <v>24</v>
      </c>
      <c r="G22">
        <f t="shared" si="2"/>
        <v>4</v>
      </c>
      <c r="H22" s="21">
        <f t="shared" si="0"/>
        <v>4</v>
      </c>
      <c r="I22" t="s">
        <v>32</v>
      </c>
      <c r="J22"/>
      <c r="K22" s="41"/>
      <c r="L22" s="41"/>
      <c r="M22" s="41"/>
      <c r="N22" s="41"/>
    </row>
    <row r="23" spans="3:33" s="40" customFormat="1" ht="47.05" customHeight="1">
      <c r="C23">
        <v>1</v>
      </c>
      <c r="D23">
        <v>6</v>
      </c>
      <c r="E23" t="s">
        <v>49</v>
      </c>
      <c r="F23" t="s">
        <v>37</v>
      </c>
      <c r="G23">
        <f t="shared" si="2"/>
        <v>2</v>
      </c>
      <c r="H23" s="21">
        <f t="shared" si="0"/>
        <v>2</v>
      </c>
      <c r="I23" t="s">
        <v>55</v>
      </c>
      <c r="J23"/>
      <c r="K23" s="41"/>
      <c r="L23" s="41"/>
      <c r="M23" s="41"/>
      <c r="N23" s="41"/>
    </row>
    <row r="24" spans="3:33" s="40" customFormat="1" ht="47.05" customHeight="1" thickBot="1">
      <c r="C24">
        <v>1</v>
      </c>
      <c r="D24">
        <v>6</v>
      </c>
      <c r="E24" t="s">
        <v>49</v>
      </c>
      <c r="F24" t="s">
        <v>37</v>
      </c>
      <c r="G24">
        <f t="shared" si="2"/>
        <v>2</v>
      </c>
      <c r="H24" s="21">
        <f t="shared" si="0"/>
        <v>2</v>
      </c>
      <c r="I24" t="s">
        <v>50</v>
      </c>
      <c r="J24"/>
      <c r="K24" s="41"/>
      <c r="L24" s="41"/>
      <c r="M24" s="41"/>
      <c r="N24" s="41"/>
    </row>
    <row r="25" spans="3:33" ht="50.1" customHeight="1" thickBot="1">
      <c r="C25">
        <v>1</v>
      </c>
      <c r="D25">
        <v>6</v>
      </c>
      <c r="E25" t="s">
        <v>49</v>
      </c>
      <c r="F25" t="s">
        <v>37</v>
      </c>
      <c r="G25">
        <f t="shared" si="2"/>
        <v>2</v>
      </c>
      <c r="H25" s="21">
        <f t="shared" si="0"/>
        <v>2</v>
      </c>
      <c r="I25" t="s">
        <v>52</v>
      </c>
      <c r="K25" s="6"/>
      <c r="L25" s="6"/>
      <c r="N25" s="43"/>
      <c r="O25" s="44" t="s">
        <v>226</v>
      </c>
      <c r="P25" s="23" t="s">
        <v>26</v>
      </c>
      <c r="Q25" s="24" t="s">
        <v>66</v>
      </c>
      <c r="R25" s="24" t="s">
        <v>203</v>
      </c>
      <c r="S25" s="25" t="s">
        <v>204</v>
      </c>
      <c r="T25" s="24"/>
      <c r="U25" s="24" t="s">
        <v>206</v>
      </c>
      <c r="V25" s="24" t="s">
        <v>222</v>
      </c>
      <c r="W25" s="24" t="s">
        <v>208</v>
      </c>
      <c r="X25" s="24" t="s">
        <v>223</v>
      </c>
      <c r="Y25" s="25" t="s">
        <v>225</v>
      </c>
      <c r="Z25" s="20" t="s">
        <v>232</v>
      </c>
      <c r="AA25" s="22" t="s">
        <v>231</v>
      </c>
    </row>
    <row r="26" spans="3:33" ht="15.65">
      <c r="C26">
        <v>1</v>
      </c>
      <c r="D26">
        <v>2</v>
      </c>
      <c r="E26" t="s">
        <v>28</v>
      </c>
      <c r="F26" t="s">
        <v>24</v>
      </c>
      <c r="G26">
        <f t="shared" si="2"/>
        <v>4</v>
      </c>
      <c r="H26" s="21">
        <f t="shared" si="0"/>
        <v>4</v>
      </c>
      <c r="I26" t="s">
        <v>33</v>
      </c>
      <c r="K26" s="6"/>
      <c r="L26" s="6"/>
      <c r="N26" s="45"/>
      <c r="O26" s="46"/>
      <c r="P26" s="34" t="s">
        <v>58</v>
      </c>
      <c r="Q26" s="35" t="s">
        <v>234</v>
      </c>
      <c r="R26" s="35" t="s">
        <v>101</v>
      </c>
      <c r="S26" s="36" t="s">
        <v>15</v>
      </c>
      <c r="T26" s="35"/>
      <c r="U26" s="35"/>
      <c r="V26" s="35"/>
      <c r="W26" s="35"/>
      <c r="X26" s="35"/>
      <c r="Y26" s="36"/>
      <c r="Z26" s="21" t="str">
        <f>CONCATENATE(P26,Q26,R26,S26)</f>
        <v>Trish RiceCS 610W05:00PM - 07:20PM</v>
      </c>
      <c r="AA26" t="str">
        <f>CONCATENATE(P26,R26,S26)</f>
        <v>Trish RiceW05:00PM - 07:20PM</v>
      </c>
      <c r="AF26" s="42"/>
      <c r="AG26" s="42"/>
    </row>
    <row r="27" spans="3:33" ht="15.65">
      <c r="C27">
        <v>1</v>
      </c>
      <c r="D27">
        <v>6</v>
      </c>
      <c r="E27" t="s">
        <v>49</v>
      </c>
      <c r="F27" t="s">
        <v>37</v>
      </c>
      <c r="G27">
        <f t="shared" si="2"/>
        <v>2</v>
      </c>
      <c r="H27" s="21">
        <f t="shared" si="0"/>
        <v>2</v>
      </c>
      <c r="I27" t="s">
        <v>62</v>
      </c>
      <c r="K27" s="6"/>
      <c r="L27" s="6"/>
      <c r="N27" s="47"/>
      <c r="O27" s="48"/>
      <c r="P27" s="31" t="s">
        <v>58</v>
      </c>
      <c r="Q27" s="32" t="s">
        <v>234</v>
      </c>
      <c r="R27" s="32" t="s">
        <v>79</v>
      </c>
      <c r="S27" s="33" t="s">
        <v>15</v>
      </c>
      <c r="T27" s="32"/>
      <c r="U27" s="32"/>
      <c r="V27" s="32"/>
      <c r="W27" s="32"/>
      <c r="X27" s="32"/>
      <c r="Y27" s="33"/>
      <c r="Z27" s="21" t="str">
        <f t="shared" ref="Z27:Z69" si="3">CONCATENATE(P27,Q27,R27,S27)</f>
        <v>Trish RiceCS 610M05:00PM - 07:20PM</v>
      </c>
      <c r="AA27" t="str">
        <f t="shared" ref="AA27:AA69" si="4">CONCATENATE(P27,R27,S27)</f>
        <v>Trish RiceM05:00PM - 07:20PM</v>
      </c>
      <c r="AF27" s="42"/>
      <c r="AG27" s="42"/>
    </row>
    <row r="28" spans="3:33" ht="15.65">
      <c r="C28">
        <v>1</v>
      </c>
      <c r="D28">
        <v>6</v>
      </c>
      <c r="E28" t="s">
        <v>49</v>
      </c>
      <c r="F28" t="s">
        <v>37</v>
      </c>
      <c r="G28">
        <f t="shared" si="2"/>
        <v>2</v>
      </c>
      <c r="H28" s="21">
        <f t="shared" si="0"/>
        <v>2</v>
      </c>
      <c r="I28" t="s">
        <v>63</v>
      </c>
      <c r="K28" s="6"/>
      <c r="L28" s="6"/>
      <c r="M28" s="6"/>
      <c r="N28" s="55" t="s">
        <v>209</v>
      </c>
      <c r="O28" s="49"/>
      <c r="P28" s="28" t="s">
        <v>27</v>
      </c>
      <c r="Q28" s="29" t="s">
        <v>235</v>
      </c>
      <c r="R28" s="29" t="s">
        <v>96</v>
      </c>
      <c r="S28" s="30" t="s">
        <v>15</v>
      </c>
      <c r="T28" s="29"/>
      <c r="U28" s="29"/>
      <c r="V28" s="29"/>
      <c r="W28" s="29"/>
      <c r="X28" s="29"/>
      <c r="Y28" s="30"/>
      <c r="Z28" s="21" t="str">
        <f t="shared" si="3"/>
        <v>Tamara BabaianCS 605T05:00PM - 07:20PM</v>
      </c>
      <c r="AA28" t="str">
        <f t="shared" si="4"/>
        <v>Tamara BabaianT05:00PM - 07:20PM</v>
      </c>
    </row>
    <row r="29" spans="3:33" ht="15.65">
      <c r="C29">
        <v>1</v>
      </c>
      <c r="D29">
        <v>2</v>
      </c>
      <c r="E29" t="s">
        <v>28</v>
      </c>
      <c r="F29" t="s">
        <v>24</v>
      </c>
      <c r="G29">
        <f t="shared" si="2"/>
        <v>4</v>
      </c>
      <c r="H29" s="21">
        <f t="shared" si="0"/>
        <v>2</v>
      </c>
      <c r="I29" t="s">
        <v>27</v>
      </c>
      <c r="K29" s="6"/>
      <c r="L29" s="6"/>
      <c r="M29" s="6"/>
      <c r="N29" s="55"/>
      <c r="O29" s="49"/>
      <c r="P29" s="31" t="s">
        <v>27</v>
      </c>
      <c r="Q29" s="32" t="s">
        <v>235</v>
      </c>
      <c r="R29" s="32" t="s">
        <v>96</v>
      </c>
      <c r="S29" s="33" t="s">
        <v>236</v>
      </c>
      <c r="T29" s="32"/>
      <c r="U29" s="32"/>
      <c r="V29" s="32"/>
      <c r="W29" s="32"/>
      <c r="X29" s="32"/>
      <c r="Y29" s="33"/>
      <c r="Z29" s="21" t="str">
        <f t="shared" si="3"/>
        <v>Tamara BabaianCS 605T07:30PM - 9:50PM</v>
      </c>
      <c r="AA29" t="str">
        <f t="shared" si="4"/>
        <v>Tamara BabaianT07:30PM - 9:50PM</v>
      </c>
    </row>
    <row r="30" spans="3:33" ht="18.350000000000001">
      <c r="C30">
        <v>1</v>
      </c>
      <c r="D30">
        <v>6</v>
      </c>
      <c r="E30" t="s">
        <v>49</v>
      </c>
      <c r="F30" t="s">
        <v>37</v>
      </c>
      <c r="G30">
        <f t="shared" si="2"/>
        <v>2</v>
      </c>
      <c r="H30" s="21">
        <f t="shared" si="0"/>
        <v>0</v>
      </c>
      <c r="I30" t="s">
        <v>58</v>
      </c>
      <c r="K30" s="6"/>
      <c r="L30" s="6"/>
      <c r="M30" s="6"/>
      <c r="N30" s="50"/>
      <c r="O30" s="49"/>
      <c r="P30" s="28"/>
      <c r="Q30" s="29"/>
      <c r="R30" s="29"/>
      <c r="S30" s="30"/>
      <c r="T30" s="29"/>
      <c r="U30" s="29"/>
      <c r="V30" s="29"/>
      <c r="W30" s="29"/>
      <c r="X30" s="29"/>
      <c r="Y30" s="30"/>
      <c r="Z30" s="21" t="str">
        <f t="shared" si="3"/>
        <v/>
      </c>
      <c r="AA30" t="str">
        <f t="shared" si="4"/>
        <v/>
      </c>
    </row>
    <row r="31" spans="3:33" ht="15.65">
      <c r="C31">
        <v>1</v>
      </c>
      <c r="D31">
        <v>3</v>
      </c>
      <c r="E31" t="s">
        <v>36</v>
      </c>
      <c r="F31" t="s">
        <v>24</v>
      </c>
      <c r="G31">
        <f t="shared" si="2"/>
        <v>4</v>
      </c>
      <c r="H31" s="21">
        <f t="shared" si="0"/>
        <v>4</v>
      </c>
      <c r="I31" t="s">
        <v>35</v>
      </c>
      <c r="K31" s="6"/>
      <c r="L31" s="6"/>
      <c r="M31" s="6"/>
      <c r="N31" s="55" t="s">
        <v>210</v>
      </c>
      <c r="O31" s="49"/>
      <c r="P31" s="31"/>
      <c r="Q31" s="32"/>
      <c r="R31" s="32"/>
      <c r="S31" s="33"/>
      <c r="T31" s="32"/>
      <c r="U31" s="32"/>
      <c r="V31" s="32"/>
      <c r="W31" s="32"/>
      <c r="X31" s="32"/>
      <c r="Y31" s="33"/>
      <c r="Z31" s="21" t="str">
        <f t="shared" si="3"/>
        <v/>
      </c>
      <c r="AA31" t="str">
        <f t="shared" si="4"/>
        <v/>
      </c>
    </row>
    <row r="32" spans="3:33" ht="15.65">
      <c r="C32">
        <v>1</v>
      </c>
      <c r="D32">
        <v>1</v>
      </c>
      <c r="E32" t="s">
        <v>26</v>
      </c>
      <c r="F32" t="s">
        <v>24</v>
      </c>
      <c r="G32">
        <f t="shared" si="2"/>
        <v>4</v>
      </c>
      <c r="H32" s="21">
        <f t="shared" si="0"/>
        <v>4</v>
      </c>
      <c r="I32" t="s">
        <v>38</v>
      </c>
      <c r="K32" s="6"/>
      <c r="L32" s="6"/>
      <c r="M32" s="6"/>
      <c r="N32" s="55"/>
      <c r="O32" s="49"/>
      <c r="P32" s="28"/>
      <c r="Q32" s="29"/>
      <c r="R32" s="29"/>
      <c r="S32" s="30"/>
      <c r="T32" s="29"/>
      <c r="U32" s="29"/>
      <c r="V32" s="29"/>
      <c r="W32" s="29"/>
      <c r="X32" s="29"/>
      <c r="Y32" s="30"/>
      <c r="Z32" s="21" t="str">
        <f t="shared" si="3"/>
        <v/>
      </c>
      <c r="AA32" t="str">
        <f t="shared" si="4"/>
        <v/>
      </c>
    </row>
    <row r="33" spans="3:27" ht="19.05">
      <c r="C33">
        <v>1</v>
      </c>
      <c r="D33">
        <v>3</v>
      </c>
      <c r="E33" t="s">
        <v>36</v>
      </c>
      <c r="F33" t="s">
        <v>24</v>
      </c>
      <c r="G33">
        <f t="shared" si="2"/>
        <v>4</v>
      </c>
      <c r="H33" s="21">
        <f t="shared" si="0"/>
        <v>4</v>
      </c>
      <c r="I33" t="s">
        <v>40</v>
      </c>
      <c r="K33" s="6"/>
      <c r="L33" s="6"/>
      <c r="M33" s="6"/>
      <c r="N33" s="51"/>
      <c r="O33" s="49"/>
      <c r="P33" s="31"/>
      <c r="Q33" s="32"/>
      <c r="R33" s="32"/>
      <c r="S33" s="33"/>
      <c r="T33" s="32"/>
      <c r="U33" s="32"/>
      <c r="V33" s="32"/>
      <c r="W33" s="32"/>
      <c r="X33" s="32"/>
      <c r="Y33" s="33"/>
      <c r="Z33" s="21" t="str">
        <f t="shared" si="3"/>
        <v/>
      </c>
      <c r="AA33" t="str">
        <f t="shared" si="4"/>
        <v/>
      </c>
    </row>
    <row r="34" spans="3:27" ht="15.65">
      <c r="K34" s="6"/>
      <c r="L34" s="6"/>
      <c r="M34" s="6"/>
      <c r="N34" s="55" t="s">
        <v>211</v>
      </c>
      <c r="O34" s="49"/>
      <c r="P34" s="28"/>
      <c r="Q34" s="29"/>
      <c r="R34" s="29"/>
      <c r="S34" s="30"/>
      <c r="T34" s="29"/>
      <c r="U34" s="29"/>
      <c r="V34" s="29"/>
      <c r="W34" s="29"/>
      <c r="X34" s="29"/>
      <c r="Y34" s="30"/>
      <c r="Z34" s="21" t="str">
        <f t="shared" si="3"/>
        <v/>
      </c>
      <c r="AA34" t="str">
        <f t="shared" si="4"/>
        <v/>
      </c>
    </row>
    <row r="35" spans="3:27" ht="15.65">
      <c r="K35" s="6"/>
      <c r="L35" s="6"/>
      <c r="M35" s="6"/>
      <c r="N35" s="55"/>
      <c r="O35" s="49"/>
      <c r="P35" s="31"/>
      <c r="Q35" s="32"/>
      <c r="R35" s="32"/>
      <c r="S35" s="33"/>
      <c r="T35" s="32"/>
      <c r="U35" s="32"/>
      <c r="V35" s="32"/>
      <c r="W35" s="32"/>
      <c r="X35" s="32"/>
      <c r="Y35" s="33"/>
      <c r="Z35" s="21" t="str">
        <f t="shared" si="3"/>
        <v/>
      </c>
      <c r="AA35" t="str">
        <f t="shared" si="4"/>
        <v/>
      </c>
    </row>
    <row r="36" spans="3:27" ht="19.05">
      <c r="K36" s="6"/>
      <c r="L36" s="6"/>
      <c r="M36" s="6"/>
      <c r="N36" s="51"/>
      <c r="O36" s="49"/>
      <c r="P36" s="28"/>
      <c r="Q36" s="29"/>
      <c r="R36" s="29"/>
      <c r="S36" s="30"/>
      <c r="T36" s="29"/>
      <c r="U36" s="29"/>
      <c r="V36" s="29"/>
      <c r="W36" s="29"/>
      <c r="X36" s="29"/>
      <c r="Y36" s="30"/>
      <c r="Z36" s="21" t="str">
        <f t="shared" si="3"/>
        <v/>
      </c>
      <c r="AA36" t="str">
        <f t="shared" si="4"/>
        <v/>
      </c>
    </row>
    <row r="37" spans="3:27" ht="15.65">
      <c r="K37" s="6"/>
      <c r="L37" s="6"/>
      <c r="M37" s="6"/>
      <c r="N37" s="55" t="s">
        <v>212</v>
      </c>
      <c r="O37" s="49"/>
      <c r="P37" s="31"/>
      <c r="Q37" s="32"/>
      <c r="R37" s="32"/>
      <c r="S37" s="33"/>
      <c r="T37" s="32"/>
      <c r="U37" s="32"/>
      <c r="V37" s="32"/>
      <c r="W37" s="32"/>
      <c r="X37" s="32"/>
      <c r="Y37" s="33"/>
      <c r="Z37" s="21" t="str">
        <f t="shared" si="3"/>
        <v/>
      </c>
      <c r="AA37" t="str">
        <f t="shared" si="4"/>
        <v/>
      </c>
    </row>
    <row r="38" spans="3:27" ht="15.65">
      <c r="G38" s="6"/>
      <c r="H38" s="6"/>
      <c r="N38" s="55"/>
      <c r="O38" s="49"/>
      <c r="P38" s="28"/>
      <c r="Q38" s="29"/>
      <c r="R38" s="29"/>
      <c r="S38" s="30"/>
      <c r="T38" s="29"/>
      <c r="U38" s="29"/>
      <c r="V38" s="29"/>
      <c r="W38" s="29"/>
      <c r="X38" s="29"/>
      <c r="Y38" s="30"/>
      <c r="Z38" s="21" t="str">
        <f t="shared" si="3"/>
        <v/>
      </c>
      <c r="AA38" t="str">
        <f t="shared" si="4"/>
        <v/>
      </c>
    </row>
    <row r="39" spans="3:27" ht="15.65">
      <c r="G39" s="6"/>
      <c r="H39" s="6"/>
      <c r="N39" s="52"/>
      <c r="O39" s="49"/>
      <c r="P39" s="31"/>
      <c r="Q39" s="32"/>
      <c r="R39" s="32"/>
      <c r="S39" s="33"/>
      <c r="T39" s="32"/>
      <c r="U39" s="32"/>
      <c r="V39" s="32"/>
      <c r="W39" s="32"/>
      <c r="X39" s="32"/>
      <c r="Y39" s="33"/>
      <c r="Z39" s="21" t="str">
        <f t="shared" si="3"/>
        <v/>
      </c>
      <c r="AA39" t="str">
        <f t="shared" si="4"/>
        <v/>
      </c>
    </row>
    <row r="40" spans="3:27" ht="15.65">
      <c r="G40" s="6"/>
      <c r="H40" s="6"/>
      <c r="N40" s="52"/>
      <c r="O40" s="49"/>
      <c r="P40" s="28"/>
      <c r="Q40" s="29"/>
      <c r="R40" s="29"/>
      <c r="S40" s="30"/>
      <c r="T40" s="29"/>
      <c r="U40" s="29"/>
      <c r="V40" s="29"/>
      <c r="W40" s="29"/>
      <c r="X40" s="29"/>
      <c r="Y40" s="30"/>
      <c r="Z40" s="21" t="str">
        <f t="shared" si="3"/>
        <v/>
      </c>
      <c r="AA40" t="str">
        <f t="shared" si="4"/>
        <v/>
      </c>
    </row>
    <row r="41" spans="3:27" ht="15.65">
      <c r="G41" s="6"/>
      <c r="H41" s="6"/>
      <c r="N41" s="52"/>
      <c r="O41" s="49"/>
      <c r="P41" s="31"/>
      <c r="Q41" s="32"/>
      <c r="R41" s="32"/>
      <c r="S41" s="33"/>
      <c r="T41" s="32"/>
      <c r="U41" s="32"/>
      <c r="V41" s="32"/>
      <c r="W41" s="32"/>
      <c r="X41" s="32"/>
      <c r="Y41" s="33"/>
      <c r="Z41" s="21" t="str">
        <f t="shared" si="3"/>
        <v/>
      </c>
      <c r="AA41" t="str">
        <f>CONCATENATE(P41,R41,S41)</f>
        <v/>
      </c>
    </row>
    <row r="42" spans="3:27" ht="16.3" thickBot="1">
      <c r="G42" s="6"/>
      <c r="H42" s="6"/>
      <c r="N42" s="53"/>
      <c r="O42" s="54"/>
      <c r="P42" s="28"/>
      <c r="Q42" s="29"/>
      <c r="R42" s="29"/>
      <c r="S42" s="30"/>
      <c r="T42" s="29"/>
      <c r="U42" s="29"/>
      <c r="V42" s="29"/>
      <c r="W42" s="29"/>
      <c r="X42" s="29"/>
      <c r="Y42" s="30"/>
      <c r="Z42" s="21" t="str">
        <f t="shared" si="3"/>
        <v/>
      </c>
      <c r="AA42" t="str">
        <f t="shared" si="4"/>
        <v/>
      </c>
    </row>
    <row r="43" spans="3:27" ht="15.65">
      <c r="G43" s="6"/>
      <c r="H43" s="6"/>
      <c r="P43" s="31"/>
      <c r="Q43" s="32"/>
      <c r="R43" s="32"/>
      <c r="S43" s="33"/>
      <c r="T43" s="32"/>
      <c r="U43" s="32"/>
      <c r="V43" s="32"/>
      <c r="W43" s="32"/>
      <c r="X43" s="32"/>
      <c r="Y43" s="33"/>
      <c r="Z43" s="21" t="str">
        <f t="shared" si="3"/>
        <v/>
      </c>
      <c r="AA43" t="str">
        <f t="shared" si="4"/>
        <v/>
      </c>
    </row>
    <row r="44" spans="3:27" ht="15.65">
      <c r="G44" s="6"/>
      <c r="H44" s="6"/>
      <c r="P44" s="28"/>
      <c r="Q44" s="29"/>
      <c r="R44" s="29"/>
      <c r="S44" s="30"/>
      <c r="T44" s="29"/>
      <c r="U44" s="29"/>
      <c r="V44" s="29"/>
      <c r="W44" s="29"/>
      <c r="X44" s="29"/>
      <c r="Y44" s="30"/>
      <c r="Z44" s="21" t="str">
        <f t="shared" si="3"/>
        <v/>
      </c>
      <c r="AA44" t="str">
        <f t="shared" si="4"/>
        <v/>
      </c>
    </row>
    <row r="45" spans="3:27" ht="15.65">
      <c r="G45" s="6"/>
      <c r="H45" s="6"/>
      <c r="P45" s="31"/>
      <c r="Q45" s="32"/>
      <c r="R45" s="32"/>
      <c r="S45" s="33"/>
      <c r="T45" s="32"/>
      <c r="U45" s="32"/>
      <c r="V45" s="32"/>
      <c r="W45" s="32"/>
      <c r="X45" s="32"/>
      <c r="Y45" s="33"/>
      <c r="Z45" s="21" t="str">
        <f t="shared" si="3"/>
        <v/>
      </c>
      <c r="AA45" t="str">
        <f t="shared" si="4"/>
        <v/>
      </c>
    </row>
    <row r="46" spans="3:27" ht="15.65">
      <c r="G46" s="6"/>
      <c r="H46" s="6"/>
      <c r="P46" s="28"/>
      <c r="Q46" s="29"/>
      <c r="R46" s="29"/>
      <c r="S46" s="30"/>
      <c r="T46" s="29"/>
      <c r="U46" s="29"/>
      <c r="V46" s="29"/>
      <c r="W46" s="29"/>
      <c r="X46" s="29"/>
      <c r="Y46" s="30"/>
      <c r="Z46" s="21" t="str">
        <f t="shared" si="3"/>
        <v/>
      </c>
      <c r="AA46" t="str">
        <f t="shared" si="4"/>
        <v/>
      </c>
    </row>
    <row r="47" spans="3:27" ht="15.65">
      <c r="G47" s="6"/>
      <c r="H47" s="6"/>
      <c r="P47" s="31"/>
      <c r="Q47" s="32"/>
      <c r="R47" s="32"/>
      <c r="S47" s="33"/>
      <c r="T47" s="32"/>
      <c r="U47" s="32"/>
      <c r="V47" s="32"/>
      <c r="W47" s="32"/>
      <c r="X47" s="32"/>
      <c r="Y47" s="33"/>
      <c r="Z47" s="21" t="str">
        <f t="shared" si="3"/>
        <v/>
      </c>
      <c r="AA47" t="str">
        <f t="shared" si="4"/>
        <v/>
      </c>
    </row>
    <row r="48" spans="3:27" ht="15.65">
      <c r="G48" s="6"/>
      <c r="H48" s="6"/>
      <c r="P48" s="28"/>
      <c r="Q48" s="29"/>
      <c r="R48" s="29"/>
      <c r="S48" s="30"/>
      <c r="T48" s="29"/>
      <c r="U48" s="29"/>
      <c r="V48" s="29"/>
      <c r="W48" s="29"/>
      <c r="X48" s="29"/>
      <c r="Y48" s="30"/>
      <c r="Z48" s="21" t="str">
        <f t="shared" si="3"/>
        <v/>
      </c>
      <c r="AA48" t="str">
        <f t="shared" si="4"/>
        <v/>
      </c>
    </row>
    <row r="49" spans="7:27" ht="15.65">
      <c r="G49" s="6"/>
      <c r="H49" s="6"/>
      <c r="P49" s="31"/>
      <c r="Q49" s="32"/>
      <c r="R49" s="32"/>
      <c r="S49" s="33"/>
      <c r="T49" s="32"/>
      <c r="U49" s="32"/>
      <c r="V49" s="32"/>
      <c r="W49" s="32"/>
      <c r="X49" s="32"/>
      <c r="Y49" s="33"/>
      <c r="Z49" s="21" t="str">
        <f t="shared" si="3"/>
        <v/>
      </c>
      <c r="AA49" t="str">
        <f t="shared" si="4"/>
        <v/>
      </c>
    </row>
    <row r="50" spans="7:27" ht="15.65">
      <c r="G50" s="6"/>
      <c r="H50" s="6"/>
      <c r="P50" s="28"/>
      <c r="Q50" s="29"/>
      <c r="R50" s="29"/>
      <c r="S50" s="30"/>
      <c r="T50" s="29"/>
      <c r="U50" s="29"/>
      <c r="V50" s="29"/>
      <c r="W50" s="29"/>
      <c r="X50" s="29"/>
      <c r="Y50" s="30"/>
      <c r="Z50" s="21" t="str">
        <f t="shared" si="3"/>
        <v/>
      </c>
      <c r="AA50" t="str">
        <f t="shared" si="4"/>
        <v/>
      </c>
    </row>
    <row r="51" spans="7:27" ht="15.65">
      <c r="G51" s="6"/>
      <c r="H51" s="6"/>
      <c r="P51" s="31"/>
      <c r="Q51" s="32"/>
      <c r="R51" s="32"/>
      <c r="S51" s="33"/>
      <c r="T51" s="32"/>
      <c r="U51" s="32"/>
      <c r="V51" s="32"/>
      <c r="W51" s="32"/>
      <c r="X51" s="32"/>
      <c r="Y51" s="33"/>
      <c r="Z51" s="21" t="str">
        <f t="shared" si="3"/>
        <v/>
      </c>
      <c r="AA51" t="str">
        <f>CONCATENATE(P51,R51,S51)</f>
        <v/>
      </c>
    </row>
    <row r="52" spans="7:27" ht="15.65">
      <c r="G52" s="6"/>
      <c r="H52" s="6"/>
      <c r="P52" s="28"/>
      <c r="Q52" s="29"/>
      <c r="R52" s="29"/>
      <c r="S52" s="30"/>
      <c r="T52" s="29"/>
      <c r="U52" s="29"/>
      <c r="V52" s="29"/>
      <c r="W52" s="29"/>
      <c r="X52" s="29"/>
      <c r="Y52" s="30"/>
      <c r="Z52" s="21" t="str">
        <f t="shared" si="3"/>
        <v/>
      </c>
      <c r="AA52" t="str">
        <f t="shared" si="4"/>
        <v/>
      </c>
    </row>
    <row r="53" spans="7:27" ht="15.65">
      <c r="G53" s="6"/>
      <c r="H53" s="6"/>
      <c r="P53" s="31"/>
      <c r="Q53" s="32"/>
      <c r="R53" s="32"/>
      <c r="S53" s="33"/>
      <c r="T53" s="32"/>
      <c r="U53" s="32"/>
      <c r="V53" s="32"/>
      <c r="W53" s="32"/>
      <c r="X53" s="32"/>
      <c r="Y53" s="33"/>
      <c r="Z53" s="21" t="str">
        <f t="shared" si="3"/>
        <v/>
      </c>
      <c r="AA53" t="str">
        <f t="shared" si="4"/>
        <v/>
      </c>
    </row>
    <row r="54" spans="7:27" ht="15.65">
      <c r="G54" s="6"/>
      <c r="H54" s="6"/>
      <c r="P54" s="28"/>
      <c r="Q54" s="29"/>
      <c r="R54" s="29"/>
      <c r="S54" s="30"/>
      <c r="T54" s="29"/>
      <c r="U54" s="29"/>
      <c r="V54" s="29"/>
      <c r="W54" s="29"/>
      <c r="X54" s="29"/>
      <c r="Y54" s="30"/>
      <c r="Z54" s="21" t="str">
        <f t="shared" si="3"/>
        <v/>
      </c>
      <c r="AA54" t="str">
        <f t="shared" si="4"/>
        <v/>
      </c>
    </row>
    <row r="55" spans="7:27" ht="15.65">
      <c r="G55" s="6"/>
      <c r="H55" s="6"/>
      <c r="P55" s="31"/>
      <c r="Q55" s="32"/>
      <c r="R55" s="32"/>
      <c r="S55" s="33"/>
      <c r="T55" s="32"/>
      <c r="U55" s="32"/>
      <c r="V55" s="32"/>
      <c r="W55" s="32"/>
      <c r="X55" s="32"/>
      <c r="Y55" s="33"/>
      <c r="Z55" s="21" t="str">
        <f t="shared" si="3"/>
        <v/>
      </c>
      <c r="AA55" t="str">
        <f t="shared" si="4"/>
        <v/>
      </c>
    </row>
    <row r="56" spans="7:27" ht="15.65">
      <c r="G56" s="6"/>
      <c r="H56" s="6"/>
      <c r="P56" s="28"/>
      <c r="Q56" s="29"/>
      <c r="R56" s="29"/>
      <c r="S56" s="30"/>
      <c r="T56" s="29"/>
      <c r="U56" s="29"/>
      <c r="V56" s="29"/>
      <c r="W56" s="29"/>
      <c r="X56" s="29"/>
      <c r="Y56" s="30"/>
      <c r="Z56" s="21" t="str">
        <f t="shared" si="3"/>
        <v/>
      </c>
      <c r="AA56" t="str">
        <f t="shared" si="4"/>
        <v/>
      </c>
    </row>
    <row r="57" spans="7:27" ht="15.65">
      <c r="G57" s="6"/>
      <c r="H57" s="6"/>
      <c r="P57" s="31"/>
      <c r="Q57" s="32"/>
      <c r="R57" s="32"/>
      <c r="S57" s="33"/>
      <c r="T57" s="32"/>
      <c r="U57" s="32"/>
      <c r="V57" s="32"/>
      <c r="W57" s="32"/>
      <c r="X57" s="32"/>
      <c r="Y57" s="33"/>
      <c r="Z57" s="21" t="str">
        <f t="shared" si="3"/>
        <v/>
      </c>
      <c r="AA57" t="str">
        <f t="shared" si="4"/>
        <v/>
      </c>
    </row>
    <row r="58" spans="7:27" ht="15.65">
      <c r="G58" s="6"/>
      <c r="H58" s="6"/>
      <c r="P58" s="28"/>
      <c r="Q58" s="29"/>
      <c r="R58" s="29"/>
      <c r="S58" s="30"/>
      <c r="T58" s="29"/>
      <c r="U58" s="29"/>
      <c r="V58" s="29"/>
      <c r="W58" s="29"/>
      <c r="X58" s="29"/>
      <c r="Y58" s="30"/>
      <c r="Z58" s="21" t="str">
        <f t="shared" si="3"/>
        <v/>
      </c>
      <c r="AA58" t="str">
        <f t="shared" si="4"/>
        <v/>
      </c>
    </row>
    <row r="59" spans="7:27">
      <c r="P59" s="31"/>
      <c r="Q59" s="32"/>
      <c r="R59" s="32"/>
      <c r="S59" s="33"/>
      <c r="T59" s="32"/>
      <c r="U59" s="32"/>
      <c r="V59" s="32"/>
      <c r="W59" s="32"/>
      <c r="X59" s="32"/>
      <c r="Y59" s="33"/>
      <c r="Z59" s="21" t="str">
        <f t="shared" si="3"/>
        <v/>
      </c>
      <c r="AA59" t="str">
        <f t="shared" si="4"/>
        <v/>
      </c>
    </row>
    <row r="60" spans="7:27">
      <c r="P60" s="28"/>
      <c r="Q60" s="29"/>
      <c r="R60" s="29"/>
      <c r="S60" s="30"/>
      <c r="T60" s="29"/>
      <c r="U60" s="29"/>
      <c r="V60" s="29"/>
      <c r="W60" s="29"/>
      <c r="X60" s="29"/>
      <c r="Y60" s="30"/>
      <c r="Z60" s="21" t="str">
        <f t="shared" si="3"/>
        <v/>
      </c>
      <c r="AA60" t="str">
        <f t="shared" si="4"/>
        <v/>
      </c>
    </row>
    <row r="61" spans="7:27">
      <c r="P61" s="31"/>
      <c r="Q61" s="32"/>
      <c r="R61" s="32"/>
      <c r="S61" s="33"/>
      <c r="T61" s="32"/>
      <c r="U61" s="32"/>
      <c r="V61" s="32"/>
      <c r="W61" s="32"/>
      <c r="X61" s="32"/>
      <c r="Y61" s="33"/>
      <c r="Z61" s="21" t="str">
        <f t="shared" si="3"/>
        <v/>
      </c>
      <c r="AA61" t="str">
        <f t="shared" si="4"/>
        <v/>
      </c>
    </row>
    <row r="62" spans="7:27">
      <c r="P62" s="28"/>
      <c r="Q62" s="29"/>
      <c r="R62" s="29"/>
      <c r="S62" s="30"/>
      <c r="T62" s="29"/>
      <c r="U62" s="29"/>
      <c r="V62" s="29"/>
      <c r="W62" s="29"/>
      <c r="X62" s="29"/>
      <c r="Y62" s="30"/>
      <c r="Z62" s="21" t="str">
        <f t="shared" si="3"/>
        <v/>
      </c>
      <c r="AA62" t="str">
        <f t="shared" si="4"/>
        <v/>
      </c>
    </row>
    <row r="63" spans="7:27">
      <c r="P63" s="31"/>
      <c r="Q63" s="32"/>
      <c r="R63" s="32"/>
      <c r="S63" s="33"/>
      <c r="T63" s="32"/>
      <c r="U63" s="32"/>
      <c r="V63" s="32"/>
      <c r="W63" s="32"/>
      <c r="X63" s="32"/>
      <c r="Y63" s="33"/>
      <c r="Z63" s="21" t="str">
        <f t="shared" si="3"/>
        <v/>
      </c>
      <c r="AA63" t="str">
        <f t="shared" si="4"/>
        <v/>
      </c>
    </row>
    <row r="64" spans="7:27">
      <c r="P64" s="28"/>
      <c r="Q64" s="29"/>
      <c r="R64" s="29"/>
      <c r="S64" s="30"/>
      <c r="T64" s="29"/>
      <c r="U64" s="29"/>
      <c r="V64" s="29"/>
      <c r="W64" s="29"/>
      <c r="X64" s="29"/>
      <c r="Y64" s="30"/>
      <c r="Z64" s="21" t="str">
        <f t="shared" si="3"/>
        <v/>
      </c>
      <c r="AA64" t="str">
        <f t="shared" si="4"/>
        <v/>
      </c>
    </row>
    <row r="65" spans="16:27">
      <c r="P65" s="31"/>
      <c r="Q65" s="32"/>
      <c r="R65" s="32"/>
      <c r="S65" s="33"/>
      <c r="T65" s="32"/>
      <c r="U65" s="32"/>
      <c r="V65" s="32"/>
      <c r="W65" s="32"/>
      <c r="X65" s="32"/>
      <c r="Y65" s="33"/>
      <c r="Z65" s="21" t="str">
        <f t="shared" si="3"/>
        <v/>
      </c>
      <c r="AA65" t="str">
        <f t="shared" si="4"/>
        <v/>
      </c>
    </row>
    <row r="66" spans="16:27">
      <c r="P66" s="28"/>
      <c r="Q66" s="29"/>
      <c r="R66" s="29"/>
      <c r="S66" s="30"/>
      <c r="T66" s="29"/>
      <c r="U66" s="29"/>
      <c r="V66" s="29"/>
      <c r="W66" s="29"/>
      <c r="X66" s="29"/>
      <c r="Y66" s="30"/>
      <c r="Z66" s="21" t="str">
        <f t="shared" si="3"/>
        <v/>
      </c>
      <c r="AA66" t="str">
        <f>CONCATENATE(P66,R66,S66)</f>
        <v/>
      </c>
    </row>
    <row r="67" spans="16:27">
      <c r="P67" s="31"/>
      <c r="Q67" s="32"/>
      <c r="R67" s="32"/>
      <c r="S67" s="33"/>
      <c r="T67" s="32"/>
      <c r="U67" s="32"/>
      <c r="V67" s="32"/>
      <c r="W67" s="32"/>
      <c r="X67" s="32"/>
      <c r="Y67" s="33"/>
      <c r="Z67" s="21" t="str">
        <f t="shared" si="3"/>
        <v/>
      </c>
      <c r="AA67" t="str">
        <f t="shared" si="4"/>
        <v/>
      </c>
    </row>
    <row r="68" spans="16:27">
      <c r="P68" s="28"/>
      <c r="Q68" s="29"/>
      <c r="R68" s="29"/>
      <c r="S68" s="30"/>
      <c r="T68" s="29"/>
      <c r="U68" s="29"/>
      <c r="V68" s="29"/>
      <c r="W68" s="29"/>
      <c r="X68" s="29"/>
      <c r="Y68" s="30"/>
      <c r="Z68" s="21" t="str">
        <f t="shared" si="3"/>
        <v/>
      </c>
      <c r="AA68" t="str">
        <f t="shared" si="4"/>
        <v/>
      </c>
    </row>
    <row r="69" spans="16:27">
      <c r="P69" s="31"/>
      <c r="Q69" s="32"/>
      <c r="R69" s="32"/>
      <c r="S69" s="33"/>
      <c r="T69" s="32"/>
      <c r="U69" s="32"/>
      <c r="V69" s="32"/>
      <c r="W69" s="32"/>
      <c r="X69" s="32"/>
      <c r="Y69" s="33"/>
      <c r="Z69" s="21" t="str">
        <f t="shared" si="3"/>
        <v/>
      </c>
      <c r="AA69" t="str">
        <f t="shared" si="4"/>
        <v/>
      </c>
    </row>
    <row r="70" spans="16:27">
      <c r="P70" s="28"/>
      <c r="Q70" s="29"/>
      <c r="R70" s="29"/>
      <c r="S70" s="30"/>
      <c r="T70" s="29"/>
      <c r="U70" s="29"/>
      <c r="V70" s="29"/>
      <c r="W70" s="29"/>
      <c r="X70" s="29"/>
      <c r="Y70" s="30"/>
    </row>
    <row r="71" spans="16:27">
      <c r="P71" s="31"/>
      <c r="Q71" s="32"/>
      <c r="R71" s="32"/>
      <c r="S71" s="33"/>
      <c r="T71" s="32"/>
      <c r="U71" s="32"/>
      <c r="V71" s="32"/>
      <c r="W71" s="32"/>
      <c r="X71" s="32"/>
      <c r="Y71" s="33"/>
    </row>
    <row r="72" spans="16:27">
      <c r="P72" s="28"/>
      <c r="Q72" s="29"/>
      <c r="R72" s="29"/>
      <c r="S72" s="30"/>
      <c r="T72" s="29"/>
      <c r="U72" s="29"/>
      <c r="V72" s="29"/>
      <c r="W72" s="29"/>
      <c r="X72" s="29"/>
      <c r="Y72" s="30"/>
    </row>
    <row r="73" spans="16:27">
      <c r="P73" s="31"/>
      <c r="Q73" s="32"/>
      <c r="R73" s="32"/>
      <c r="S73" s="33"/>
      <c r="T73" s="32"/>
      <c r="U73" s="32"/>
      <c r="V73" s="32"/>
      <c r="W73" s="32"/>
      <c r="X73" s="32"/>
      <c r="Y73" s="33"/>
    </row>
    <row r="74" spans="16:27">
      <c r="P74" s="28"/>
      <c r="Q74" s="29"/>
      <c r="R74" s="29"/>
      <c r="S74" s="30"/>
      <c r="T74" s="29"/>
      <c r="U74" s="29"/>
      <c r="V74" s="29"/>
      <c r="W74" s="29"/>
      <c r="X74" s="29"/>
      <c r="Y74" s="30"/>
    </row>
    <row r="75" spans="16:27">
      <c r="P75" s="31"/>
      <c r="Q75" s="32"/>
      <c r="R75" s="32"/>
      <c r="S75" s="33"/>
      <c r="T75" s="32"/>
      <c r="U75" s="32"/>
      <c r="V75" s="32"/>
      <c r="W75" s="32"/>
      <c r="X75" s="32"/>
      <c r="Y75" s="33"/>
    </row>
    <row r="76" spans="16:27">
      <c r="P76" s="28"/>
      <c r="Q76" s="29"/>
      <c r="R76" s="29"/>
      <c r="S76" s="30"/>
      <c r="T76" s="29"/>
      <c r="U76" s="29"/>
      <c r="V76" s="29"/>
      <c r="W76" s="29"/>
      <c r="X76" s="29"/>
      <c r="Y76" s="30"/>
    </row>
    <row r="77" spans="16:27">
      <c r="P77" s="31"/>
      <c r="Q77" s="32"/>
      <c r="R77" s="32"/>
      <c r="S77" s="33"/>
      <c r="T77" s="32"/>
      <c r="U77" s="32"/>
      <c r="V77" s="32"/>
      <c r="W77" s="32"/>
      <c r="X77" s="32"/>
      <c r="Y77" s="33"/>
    </row>
    <row r="78" spans="16:27">
      <c r="P78" s="28"/>
      <c r="Q78" s="29"/>
      <c r="R78" s="29"/>
      <c r="S78" s="30"/>
      <c r="T78" s="29"/>
      <c r="U78" s="29"/>
      <c r="V78" s="29"/>
      <c r="W78" s="29"/>
      <c r="X78" s="29"/>
      <c r="Y78" s="30"/>
    </row>
    <row r="79" spans="16:27">
      <c r="P79" s="31"/>
      <c r="Q79" s="32"/>
      <c r="R79" s="32"/>
      <c r="S79" s="33"/>
      <c r="T79" s="32"/>
      <c r="U79" s="32"/>
      <c r="V79" s="32"/>
      <c r="W79" s="32"/>
      <c r="X79" s="32"/>
      <c r="Y79" s="33"/>
    </row>
    <row r="80" spans="16:27">
      <c r="P80" s="28"/>
      <c r="Q80" s="29"/>
      <c r="R80" s="29"/>
      <c r="S80" s="30"/>
      <c r="T80" s="29"/>
      <c r="U80" s="29"/>
      <c r="V80" s="29"/>
      <c r="W80" s="29"/>
      <c r="X80" s="29"/>
      <c r="Y80" s="30"/>
    </row>
    <row r="81" spans="16:25">
      <c r="P81" s="31"/>
      <c r="Q81" s="32"/>
      <c r="R81" s="32"/>
      <c r="S81" s="33"/>
      <c r="T81" s="32"/>
      <c r="U81" s="32"/>
      <c r="V81" s="32"/>
      <c r="W81" s="32"/>
      <c r="X81" s="32"/>
      <c r="Y81" s="33"/>
    </row>
    <row r="82" spans="16:25">
      <c r="P82" s="28"/>
      <c r="Q82" s="29"/>
      <c r="R82" s="29"/>
      <c r="S82" s="30"/>
      <c r="T82" s="29"/>
      <c r="U82" s="29"/>
      <c r="V82" s="29"/>
      <c r="W82" s="29"/>
      <c r="X82" s="29"/>
      <c r="Y82" s="30"/>
    </row>
    <row r="83" spans="16:25">
      <c r="P83" s="31"/>
      <c r="Q83" s="32"/>
      <c r="R83" s="32"/>
      <c r="S83" s="33"/>
      <c r="T83" s="32"/>
      <c r="U83" s="32"/>
      <c r="V83" s="32"/>
      <c r="W83" s="32"/>
      <c r="X83" s="32"/>
      <c r="Y83" s="33"/>
    </row>
    <row r="84" spans="16:25">
      <c r="P84" s="28"/>
      <c r="Q84" s="29"/>
      <c r="R84" s="29"/>
      <c r="S84" s="30"/>
      <c r="T84" s="29"/>
      <c r="U84" s="29"/>
      <c r="V84" s="29"/>
      <c r="W84" s="29"/>
      <c r="X84" s="29"/>
      <c r="Y84" s="30"/>
    </row>
    <row r="85" spans="16:25">
      <c r="P85" s="31"/>
      <c r="Q85" s="32"/>
      <c r="R85" s="32"/>
      <c r="S85" s="33"/>
      <c r="T85" s="32"/>
      <c r="U85" s="32"/>
      <c r="V85" s="32"/>
      <c r="W85" s="32"/>
      <c r="X85" s="32"/>
      <c r="Y85" s="33"/>
    </row>
    <row r="86" spans="16:25">
      <c r="P86" s="28"/>
      <c r="Q86" s="29"/>
      <c r="R86" s="29"/>
      <c r="S86" s="30"/>
      <c r="T86" s="29"/>
      <c r="U86" s="29"/>
      <c r="V86" s="29"/>
      <c r="W86" s="29"/>
      <c r="X86" s="29"/>
      <c r="Y86" s="30"/>
    </row>
    <row r="87" spans="16:25">
      <c r="P87" s="31"/>
      <c r="Q87" s="32"/>
      <c r="R87" s="32"/>
      <c r="S87" s="33"/>
      <c r="T87" s="32"/>
      <c r="U87" s="32"/>
      <c r="V87" s="32"/>
      <c r="W87" s="32"/>
      <c r="X87" s="32"/>
      <c r="Y87" s="33"/>
    </row>
    <row r="88" spans="16:25">
      <c r="P88" s="28"/>
      <c r="Q88" s="29"/>
      <c r="R88" s="29"/>
      <c r="S88" s="30"/>
      <c r="T88" s="29"/>
      <c r="U88" s="29"/>
      <c r="V88" s="29"/>
      <c r="W88" s="29"/>
      <c r="X88" s="29"/>
      <c r="Y88" s="30"/>
    </row>
    <row r="89" spans="16:25" ht="14.95" thickBot="1">
      <c r="P89" s="37"/>
      <c r="Q89" s="38"/>
      <c r="R89" s="38"/>
      <c r="S89" s="39"/>
      <c r="T89" s="38"/>
      <c r="U89" s="38"/>
      <c r="V89" s="38"/>
      <c r="W89" s="38"/>
      <c r="X89" s="38"/>
      <c r="Y89" s="39"/>
    </row>
    <row r="90" spans="16:25">
      <c r="P90" s="40"/>
      <c r="Q90" s="40"/>
      <c r="R90" s="40"/>
      <c r="S90" s="40"/>
    </row>
    <row r="91" spans="16:25">
      <c r="P91" s="40"/>
      <c r="Q91" s="40"/>
      <c r="R91" s="40"/>
      <c r="S91" s="40"/>
    </row>
    <row r="92" spans="16:25">
      <c r="P92" s="40"/>
      <c r="Q92" s="40"/>
      <c r="R92" s="40"/>
      <c r="S92" s="40"/>
    </row>
    <row r="93" spans="16:25">
      <c r="P93" s="40"/>
      <c r="Q93" s="40"/>
      <c r="R93" s="40"/>
      <c r="S93" s="40"/>
    </row>
    <row r="94" spans="16:25">
      <c r="P94" s="40"/>
      <c r="Q94" s="40"/>
      <c r="R94" s="40"/>
      <c r="S94" s="40"/>
    </row>
    <row r="95" spans="16:25">
      <c r="P95" s="40"/>
      <c r="Q95" s="40"/>
      <c r="R95" s="40"/>
      <c r="S95" s="40"/>
    </row>
    <row r="96" spans="16:25">
      <c r="P96" s="40"/>
      <c r="Q96" s="40"/>
      <c r="R96" s="40"/>
      <c r="S96" s="40"/>
    </row>
    <row r="97" spans="16:19">
      <c r="P97" s="40"/>
      <c r="Q97" s="40"/>
      <c r="R97" s="40"/>
      <c r="S97" s="40"/>
    </row>
    <row r="98" spans="16:19">
      <c r="P98" s="40"/>
      <c r="Q98" s="40"/>
      <c r="R98" s="40"/>
      <c r="S98" s="40"/>
    </row>
    <row r="99" spans="16:19">
      <c r="P99" s="40"/>
      <c r="Q99" s="40"/>
      <c r="R99" s="40"/>
      <c r="S99" s="40"/>
    </row>
    <row r="100" spans="16:19">
      <c r="P100" s="40"/>
      <c r="Q100" s="40"/>
      <c r="R100" s="40"/>
      <c r="S100" s="40"/>
    </row>
    <row r="101" spans="16:19">
      <c r="P101" s="40"/>
      <c r="Q101" s="40"/>
      <c r="R101" s="40"/>
      <c r="S101" s="40"/>
    </row>
    <row r="102" spans="16:19">
      <c r="P102" s="40"/>
      <c r="Q102" s="40"/>
      <c r="R102" s="40"/>
      <c r="S102" s="40"/>
    </row>
    <row r="103" spans="16:19">
      <c r="P103" s="40"/>
      <c r="Q103" s="40"/>
      <c r="R103" s="40"/>
      <c r="S103" s="40"/>
    </row>
    <row r="104" spans="16:19">
      <c r="P104" s="40"/>
      <c r="Q104" s="40"/>
      <c r="R104" s="40"/>
      <c r="S104" s="40"/>
    </row>
    <row r="105" spans="16:19">
      <c r="P105" s="40"/>
      <c r="Q105" s="40"/>
      <c r="R105" s="40"/>
      <c r="S105" s="40"/>
    </row>
    <row r="106" spans="16:19">
      <c r="P106" s="40"/>
      <c r="Q106" s="40"/>
      <c r="R106" s="40"/>
      <c r="S106" s="40"/>
    </row>
    <row r="107" spans="16:19">
      <c r="P107" s="40"/>
      <c r="Q107" s="40"/>
      <c r="R107" s="40"/>
      <c r="S107" s="40"/>
    </row>
    <row r="108" spans="16:19">
      <c r="P108" s="40"/>
      <c r="Q108" s="40"/>
      <c r="R108" s="40"/>
      <c r="S108" s="40"/>
    </row>
    <row r="109" spans="16:19">
      <c r="P109" s="40"/>
      <c r="Q109" s="40"/>
      <c r="R109" s="40"/>
      <c r="S109" s="40"/>
    </row>
    <row r="110" spans="16:19">
      <c r="P110" s="40"/>
      <c r="Q110" s="40"/>
      <c r="R110" s="40"/>
      <c r="S110" s="40"/>
    </row>
    <row r="111" spans="16:19">
      <c r="P111" s="40"/>
      <c r="Q111" s="40"/>
      <c r="R111" s="40"/>
      <c r="S111" s="40"/>
    </row>
    <row r="112" spans="16:19">
      <c r="P112" s="40"/>
      <c r="Q112" s="40"/>
      <c r="R112" s="40"/>
      <c r="S112" s="40"/>
    </row>
    <row r="113" spans="16:19">
      <c r="P113" s="40"/>
      <c r="Q113" s="40"/>
      <c r="R113" s="40"/>
      <c r="S113" s="40"/>
    </row>
    <row r="114" spans="16:19">
      <c r="P114" s="40"/>
      <c r="Q114" s="40"/>
      <c r="R114" s="40"/>
      <c r="S114" s="40"/>
    </row>
    <row r="115" spans="16:19">
      <c r="P115" s="40"/>
      <c r="Q115" s="40"/>
      <c r="R115" s="40"/>
      <c r="S115" s="40"/>
    </row>
    <row r="116" spans="16:19">
      <c r="P116" s="40"/>
      <c r="Q116" s="40"/>
      <c r="R116" s="40"/>
      <c r="S116" s="40"/>
    </row>
    <row r="117" spans="16:19">
      <c r="P117" s="40"/>
      <c r="Q117" s="40"/>
      <c r="R117" s="40"/>
      <c r="S117" s="40"/>
    </row>
    <row r="118" spans="16:19">
      <c r="P118" s="40"/>
      <c r="Q118" s="40"/>
      <c r="R118" s="40"/>
      <c r="S118" s="40"/>
    </row>
    <row r="119" spans="16:19">
      <c r="P119" s="40"/>
      <c r="Q119" s="40"/>
      <c r="R119" s="40"/>
      <c r="S119" s="40"/>
    </row>
    <row r="120" spans="16:19">
      <c r="P120" s="40"/>
      <c r="Q120" s="40"/>
      <c r="R120" s="40"/>
      <c r="S120" s="40"/>
    </row>
    <row r="121" spans="16:19">
      <c r="P121" s="40"/>
      <c r="Q121" s="40"/>
      <c r="R121" s="40"/>
      <c r="S121" s="40"/>
    </row>
    <row r="122" spans="16:19">
      <c r="P122" s="40"/>
      <c r="Q122" s="40"/>
      <c r="R122" s="40"/>
      <c r="S122" s="40"/>
    </row>
    <row r="123" spans="16:19">
      <c r="P123" s="40"/>
      <c r="Q123" s="40"/>
      <c r="R123" s="40"/>
      <c r="S123" s="40"/>
    </row>
    <row r="124" spans="16:19">
      <c r="P124" s="40"/>
      <c r="Q124" s="40"/>
      <c r="R124" s="40"/>
      <c r="S124" s="40"/>
    </row>
    <row r="125" spans="16:19">
      <c r="P125" s="40"/>
      <c r="Q125" s="40"/>
      <c r="R125" s="40"/>
      <c r="S125" s="40"/>
    </row>
    <row r="126" spans="16:19">
      <c r="P126" s="40"/>
      <c r="Q126" s="40"/>
      <c r="R126" s="40"/>
      <c r="S126" s="40"/>
    </row>
    <row r="127" spans="16:19">
      <c r="P127" s="40"/>
      <c r="Q127" s="40"/>
      <c r="R127" s="40"/>
      <c r="S127" s="40"/>
    </row>
    <row r="128" spans="16:19">
      <c r="P128" s="40"/>
      <c r="Q128" s="40"/>
      <c r="R128" s="40"/>
      <c r="S128" s="40"/>
    </row>
    <row r="129" spans="16:19">
      <c r="P129" s="40"/>
      <c r="Q129" s="40"/>
      <c r="R129" s="40"/>
      <c r="S129" s="40"/>
    </row>
    <row r="130" spans="16:19">
      <c r="P130" s="40"/>
      <c r="Q130" s="40"/>
      <c r="R130" s="40"/>
      <c r="S130" s="40"/>
    </row>
    <row r="131" spans="16:19">
      <c r="P131" s="40"/>
      <c r="Q131" s="40"/>
      <c r="R131" s="40"/>
      <c r="S131" s="40"/>
    </row>
    <row r="132" spans="16:19">
      <c r="P132" s="40"/>
      <c r="Q132" s="40"/>
      <c r="R132" s="40"/>
      <c r="S132" s="40"/>
    </row>
    <row r="133" spans="16:19">
      <c r="P133" s="40"/>
      <c r="Q133" s="40"/>
      <c r="R133" s="40"/>
      <c r="S133" s="40"/>
    </row>
    <row r="134" spans="16:19">
      <c r="P134" s="40"/>
      <c r="Q134" s="40"/>
      <c r="R134" s="40"/>
      <c r="S134" s="40"/>
    </row>
    <row r="135" spans="16:19">
      <c r="P135" s="40"/>
      <c r="Q135" s="40"/>
      <c r="R135" s="40"/>
      <c r="S135" s="40"/>
    </row>
    <row r="136" spans="16:19">
      <c r="P136" s="40"/>
      <c r="Q136" s="40"/>
      <c r="R136" s="40"/>
      <c r="S136" s="40"/>
    </row>
    <row r="137" spans="16:19">
      <c r="P137" s="40"/>
      <c r="Q137" s="40"/>
      <c r="R137" s="40"/>
      <c r="S137" s="40"/>
    </row>
    <row r="138" spans="16:19">
      <c r="P138" s="40"/>
      <c r="Q138" s="40"/>
      <c r="R138" s="40"/>
      <c r="S138" s="40"/>
    </row>
    <row r="139" spans="16:19">
      <c r="P139" s="40"/>
      <c r="Q139" s="40"/>
      <c r="R139" s="40"/>
      <c r="S139" s="40"/>
    </row>
    <row r="140" spans="16:19">
      <c r="P140" s="40"/>
      <c r="Q140" s="40"/>
      <c r="R140" s="40"/>
      <c r="S140" s="40"/>
    </row>
    <row r="141" spans="16:19">
      <c r="P141" s="40"/>
      <c r="Q141" s="40"/>
      <c r="R141" s="40"/>
      <c r="S141" s="40"/>
    </row>
    <row r="142" spans="16:19">
      <c r="P142" s="40"/>
      <c r="Q142" s="40"/>
      <c r="R142" s="40"/>
      <c r="S142" s="40"/>
    </row>
    <row r="143" spans="16:19">
      <c r="P143" s="40"/>
      <c r="Q143" s="40"/>
      <c r="R143" s="40"/>
      <c r="S143" s="40"/>
    </row>
    <row r="144" spans="16:19">
      <c r="P144" s="40"/>
      <c r="Q144" s="40"/>
      <c r="R144" s="40"/>
      <c r="S144" s="40"/>
    </row>
    <row r="145" spans="16:19">
      <c r="P145" s="40"/>
      <c r="Q145" s="40"/>
      <c r="R145" s="40"/>
      <c r="S145" s="40"/>
    </row>
    <row r="146" spans="16:19">
      <c r="P146" s="40"/>
      <c r="Q146" s="40"/>
      <c r="R146" s="40"/>
      <c r="S146" s="40"/>
    </row>
    <row r="147" spans="16:19">
      <c r="P147" s="40"/>
      <c r="Q147" s="40"/>
      <c r="R147" s="40"/>
      <c r="S147" s="40"/>
    </row>
    <row r="148" spans="16:19">
      <c r="P148" s="40"/>
      <c r="Q148" s="40"/>
      <c r="R148" s="40"/>
      <c r="S148" s="40"/>
    </row>
    <row r="149" spans="16:19">
      <c r="P149" s="40"/>
      <c r="Q149" s="40"/>
      <c r="R149" s="40"/>
      <c r="S149" s="40"/>
    </row>
    <row r="150" spans="16:19">
      <c r="P150" s="40"/>
      <c r="Q150" s="40"/>
      <c r="R150" s="40"/>
      <c r="S150" s="40"/>
    </row>
    <row r="151" spans="16:19">
      <c r="P151" s="40"/>
      <c r="Q151" s="40"/>
      <c r="R151" s="40"/>
      <c r="S151" s="40"/>
    </row>
    <row r="152" spans="16:19">
      <c r="P152" s="40"/>
      <c r="Q152" s="40"/>
      <c r="R152" s="40"/>
      <c r="S152" s="40"/>
    </row>
    <row r="153" spans="16:19">
      <c r="P153" s="40"/>
      <c r="Q153" s="40"/>
      <c r="R153" s="40"/>
      <c r="S153" s="40"/>
    </row>
    <row r="154" spans="16:19">
      <c r="P154" s="40"/>
      <c r="Q154" s="40"/>
      <c r="R154" s="40"/>
      <c r="S154" s="40"/>
    </row>
    <row r="155" spans="16:19">
      <c r="P155" s="40"/>
      <c r="Q155" s="40"/>
      <c r="R155" s="40"/>
      <c r="S155" s="40"/>
    </row>
    <row r="156" spans="16:19">
      <c r="P156" s="40"/>
      <c r="Q156" s="40"/>
      <c r="R156" s="40"/>
      <c r="S156" s="40"/>
    </row>
    <row r="157" spans="16:19">
      <c r="P157" s="40"/>
      <c r="Q157" s="40"/>
      <c r="R157" s="40"/>
      <c r="S157" s="40"/>
    </row>
    <row r="158" spans="16:19">
      <c r="P158" s="40"/>
      <c r="Q158" s="40"/>
      <c r="R158" s="40"/>
      <c r="S158" s="40"/>
    </row>
    <row r="159" spans="16:19">
      <c r="P159" s="40"/>
      <c r="Q159" s="40"/>
      <c r="R159" s="40"/>
      <c r="S159" s="40"/>
    </row>
    <row r="160" spans="16:19">
      <c r="P160" s="40"/>
      <c r="Q160" s="40"/>
      <c r="R160" s="40"/>
      <c r="S160" s="40"/>
    </row>
    <row r="161" spans="16:19">
      <c r="P161" s="40"/>
      <c r="Q161" s="40"/>
      <c r="R161" s="40"/>
      <c r="S161" s="40"/>
    </row>
    <row r="162" spans="16:19">
      <c r="P162" s="40"/>
      <c r="Q162" s="40"/>
      <c r="R162" s="40"/>
      <c r="S162" s="40"/>
    </row>
    <row r="163" spans="16:19">
      <c r="P163" s="40"/>
      <c r="Q163" s="40"/>
      <c r="R163" s="40"/>
      <c r="S163" s="40"/>
    </row>
    <row r="164" spans="16:19">
      <c r="P164" s="40"/>
      <c r="Q164" s="40"/>
      <c r="R164" s="40"/>
      <c r="S164" s="40"/>
    </row>
    <row r="165" spans="16:19">
      <c r="P165" s="40"/>
      <c r="Q165" s="40"/>
      <c r="R165" s="40"/>
      <c r="S165" s="40"/>
    </row>
    <row r="166" spans="16:19">
      <c r="P166" s="40"/>
      <c r="Q166" s="40"/>
      <c r="R166" s="40"/>
      <c r="S166" s="40"/>
    </row>
    <row r="167" spans="16:19">
      <c r="P167" s="40"/>
      <c r="Q167" s="40"/>
      <c r="R167" s="40"/>
      <c r="S167" s="40"/>
    </row>
    <row r="168" spans="16:19">
      <c r="P168" s="40"/>
      <c r="Q168" s="40"/>
      <c r="R168" s="40"/>
      <c r="S168" s="40"/>
    </row>
    <row r="169" spans="16:19">
      <c r="P169" s="40"/>
      <c r="Q169" s="40"/>
      <c r="R169" s="40"/>
      <c r="S169" s="40"/>
    </row>
    <row r="170" spans="16:19">
      <c r="P170" s="40"/>
      <c r="Q170" s="40"/>
      <c r="R170" s="40"/>
      <c r="S170" s="40"/>
    </row>
    <row r="171" spans="16:19">
      <c r="P171" s="40"/>
      <c r="Q171" s="40"/>
      <c r="R171" s="40"/>
      <c r="S171" s="40"/>
    </row>
    <row r="172" spans="16:19">
      <c r="P172" s="40"/>
      <c r="Q172" s="40"/>
      <c r="R172" s="40"/>
      <c r="S172" s="40"/>
    </row>
    <row r="173" spans="16:19">
      <c r="P173" s="40"/>
      <c r="Q173" s="40"/>
      <c r="R173" s="40"/>
      <c r="S173" s="40"/>
    </row>
    <row r="174" spans="16:19">
      <c r="P174" s="40"/>
      <c r="Q174" s="40"/>
      <c r="R174" s="40"/>
      <c r="S174" s="40"/>
    </row>
    <row r="175" spans="16:19">
      <c r="P175" s="40"/>
      <c r="Q175" s="40"/>
      <c r="R175" s="40"/>
      <c r="S175" s="40"/>
    </row>
    <row r="176" spans="16:19">
      <c r="P176" s="40"/>
      <c r="Q176" s="40"/>
      <c r="R176" s="40"/>
      <c r="S176" s="40"/>
    </row>
    <row r="177" spans="16:19">
      <c r="P177" s="40"/>
      <c r="Q177" s="40"/>
      <c r="R177" s="40"/>
      <c r="S177" s="40"/>
    </row>
    <row r="178" spans="16:19">
      <c r="P178" s="40"/>
      <c r="Q178" s="40"/>
      <c r="R178" s="40"/>
      <c r="S178" s="40"/>
    </row>
    <row r="179" spans="16:19">
      <c r="P179" s="40"/>
      <c r="Q179" s="40"/>
      <c r="R179" s="40"/>
      <c r="S179" s="40"/>
    </row>
    <row r="180" spans="16:19">
      <c r="P180" s="40"/>
      <c r="Q180" s="40"/>
      <c r="R180" s="40"/>
      <c r="S180" s="40"/>
    </row>
    <row r="181" spans="16:19">
      <c r="P181" s="40"/>
      <c r="Q181" s="40"/>
      <c r="R181" s="40"/>
      <c r="S181" s="40"/>
    </row>
    <row r="182" spans="16:19">
      <c r="P182" s="40"/>
      <c r="Q182" s="40"/>
      <c r="R182" s="40"/>
      <c r="S182" s="40"/>
    </row>
    <row r="183" spans="16:19">
      <c r="P183" s="40"/>
      <c r="Q183" s="40"/>
      <c r="R183" s="40"/>
      <c r="S183" s="40"/>
    </row>
    <row r="184" spans="16:19">
      <c r="P184" s="40"/>
      <c r="Q184" s="40"/>
      <c r="R184" s="40"/>
      <c r="S184" s="40"/>
    </row>
    <row r="185" spans="16:19">
      <c r="P185" s="40"/>
      <c r="Q185" s="40"/>
      <c r="R185" s="40"/>
      <c r="S185" s="40"/>
    </row>
    <row r="186" spans="16:19">
      <c r="P186" s="40"/>
      <c r="Q186" s="40"/>
      <c r="R186" s="40"/>
      <c r="S186" s="40"/>
    </row>
    <row r="187" spans="16:19">
      <c r="P187" s="40"/>
      <c r="Q187" s="40"/>
      <c r="R187" s="40"/>
      <c r="S187" s="40"/>
    </row>
    <row r="188" spans="16:19">
      <c r="P188" s="40"/>
      <c r="Q188" s="40"/>
      <c r="R188" s="40"/>
      <c r="S188" s="40"/>
    </row>
    <row r="189" spans="16:19">
      <c r="P189" s="40"/>
      <c r="Q189" s="40"/>
      <c r="R189" s="40"/>
      <c r="S189" s="40"/>
    </row>
    <row r="190" spans="16:19">
      <c r="P190" s="40"/>
      <c r="Q190" s="40"/>
      <c r="R190" s="40"/>
      <c r="S190" s="40"/>
    </row>
    <row r="191" spans="16:19">
      <c r="P191" s="40"/>
      <c r="Q191" s="40"/>
      <c r="R191" s="40"/>
      <c r="S191" s="40"/>
    </row>
    <row r="192" spans="16:19">
      <c r="P192" s="40"/>
      <c r="Q192" s="40"/>
      <c r="R192" s="40"/>
      <c r="S192" s="40"/>
    </row>
    <row r="193" spans="16:19">
      <c r="P193" s="40"/>
      <c r="Q193" s="40"/>
      <c r="R193" s="40"/>
      <c r="S193" s="40"/>
    </row>
    <row r="194" spans="16:19">
      <c r="P194" s="40"/>
      <c r="Q194" s="40"/>
      <c r="R194" s="40"/>
      <c r="S194" s="40"/>
    </row>
    <row r="195" spans="16:19">
      <c r="P195" s="40"/>
      <c r="Q195" s="40"/>
      <c r="R195" s="40"/>
      <c r="S195" s="40"/>
    </row>
    <row r="196" spans="16:19">
      <c r="P196" s="40"/>
      <c r="Q196" s="40"/>
      <c r="R196" s="40"/>
      <c r="S196" s="40"/>
    </row>
    <row r="197" spans="16:19">
      <c r="P197" s="40"/>
      <c r="Q197" s="40"/>
      <c r="R197" s="40"/>
      <c r="S197" s="40"/>
    </row>
    <row r="198" spans="16:19">
      <c r="P198" s="40"/>
      <c r="Q198" s="40"/>
      <c r="R198" s="40"/>
      <c r="S198" s="40"/>
    </row>
    <row r="199" spans="16:19">
      <c r="P199" s="40"/>
      <c r="Q199" s="40"/>
      <c r="R199" s="40"/>
      <c r="S199" s="40"/>
    </row>
    <row r="200" spans="16:19">
      <c r="P200" s="40"/>
      <c r="Q200" s="40"/>
      <c r="R200" s="40"/>
      <c r="S200" s="40"/>
    </row>
    <row r="201" spans="16:19">
      <c r="P201" s="40"/>
      <c r="Q201" s="40"/>
      <c r="R201" s="40"/>
      <c r="S201" s="40"/>
    </row>
    <row r="202" spans="16:19">
      <c r="P202" s="40"/>
      <c r="Q202" s="40"/>
      <c r="R202" s="40"/>
      <c r="S202" s="40"/>
    </row>
    <row r="203" spans="16:19">
      <c r="P203" s="40"/>
      <c r="Q203" s="40"/>
      <c r="R203" s="40"/>
      <c r="S203" s="40"/>
    </row>
    <row r="204" spans="16:19">
      <c r="P204" s="40"/>
      <c r="Q204" s="40"/>
      <c r="R204" s="40"/>
      <c r="S204" s="40"/>
    </row>
    <row r="205" spans="16:19">
      <c r="P205" s="40"/>
      <c r="Q205" s="40"/>
      <c r="R205" s="40"/>
      <c r="S205" s="40"/>
    </row>
    <row r="206" spans="16:19">
      <c r="P206" s="40"/>
      <c r="Q206" s="40"/>
      <c r="R206" s="40"/>
      <c r="S206" s="40"/>
    </row>
    <row r="207" spans="16:19">
      <c r="P207" s="40"/>
      <c r="Q207" s="40"/>
      <c r="R207" s="40"/>
      <c r="S207" s="40"/>
    </row>
    <row r="208" spans="16:19">
      <c r="P208" s="40"/>
      <c r="Q208" s="40"/>
      <c r="R208" s="40"/>
      <c r="S208" s="40"/>
    </row>
    <row r="209" spans="16:19">
      <c r="P209" s="40"/>
      <c r="Q209" s="40"/>
      <c r="R209" s="40"/>
      <c r="S209" s="40"/>
    </row>
    <row r="210" spans="16:19">
      <c r="P210" s="40"/>
      <c r="Q210" s="40"/>
      <c r="R210" s="40"/>
      <c r="S210" s="40"/>
    </row>
    <row r="211" spans="16:19">
      <c r="P211" s="40"/>
      <c r="Q211" s="40"/>
      <c r="R211" s="40"/>
      <c r="S211" s="40"/>
    </row>
    <row r="212" spans="16:19">
      <c r="P212" s="40"/>
      <c r="Q212" s="40"/>
      <c r="R212" s="40"/>
      <c r="S212" s="40"/>
    </row>
    <row r="213" spans="16:19">
      <c r="P213" s="40"/>
      <c r="Q213" s="40"/>
      <c r="R213" s="40"/>
      <c r="S213" s="40"/>
    </row>
    <row r="214" spans="16:19">
      <c r="P214" s="40"/>
      <c r="Q214" s="40"/>
      <c r="R214" s="40"/>
      <c r="S214" s="40"/>
    </row>
    <row r="215" spans="16:19">
      <c r="P215" s="40"/>
      <c r="Q215" s="40"/>
      <c r="R215" s="40"/>
      <c r="S215" s="40"/>
    </row>
    <row r="216" spans="16:19">
      <c r="P216" s="40"/>
      <c r="Q216" s="40"/>
      <c r="R216" s="40"/>
      <c r="S216" s="40"/>
    </row>
    <row r="217" spans="16:19">
      <c r="P217" s="40"/>
      <c r="Q217" s="40"/>
      <c r="R217" s="40"/>
      <c r="S217" s="40"/>
    </row>
    <row r="218" spans="16:19">
      <c r="P218" s="40"/>
      <c r="Q218" s="40"/>
      <c r="R218" s="40"/>
      <c r="S218" s="40"/>
    </row>
    <row r="219" spans="16:19">
      <c r="P219" s="40"/>
      <c r="Q219" s="40"/>
      <c r="R219" s="40"/>
      <c r="S219" s="40"/>
    </row>
    <row r="220" spans="16:19">
      <c r="P220" s="40"/>
      <c r="Q220" s="40"/>
      <c r="R220" s="40"/>
      <c r="S220" s="40"/>
    </row>
    <row r="221" spans="16:19">
      <c r="P221" s="40"/>
      <c r="Q221" s="40"/>
      <c r="R221" s="40"/>
      <c r="S221" s="40"/>
    </row>
    <row r="222" spans="16:19">
      <c r="P222" s="40"/>
      <c r="Q222" s="40"/>
      <c r="R222" s="40"/>
      <c r="S222" s="40"/>
    </row>
    <row r="223" spans="16:19">
      <c r="P223" s="40"/>
      <c r="Q223" s="40"/>
      <c r="R223" s="40"/>
      <c r="S223" s="40"/>
    </row>
    <row r="224" spans="16:19">
      <c r="P224" s="40"/>
      <c r="Q224" s="40"/>
      <c r="R224" s="40"/>
      <c r="S224" s="40"/>
    </row>
    <row r="225" spans="16:19">
      <c r="P225" s="40"/>
      <c r="Q225" s="40"/>
      <c r="R225" s="40"/>
      <c r="S225" s="40"/>
    </row>
    <row r="226" spans="16:19">
      <c r="P226" s="40"/>
      <c r="Q226" s="40"/>
      <c r="R226" s="40"/>
      <c r="S226" s="40"/>
    </row>
    <row r="227" spans="16:19">
      <c r="P227" s="40"/>
      <c r="Q227" s="40"/>
      <c r="R227" s="40"/>
      <c r="S227" s="40"/>
    </row>
    <row r="228" spans="16:19">
      <c r="P228" s="40"/>
      <c r="Q228" s="40"/>
      <c r="R228" s="40"/>
      <c r="S228" s="40"/>
    </row>
    <row r="229" spans="16:19">
      <c r="P229" s="40"/>
      <c r="Q229" s="40"/>
      <c r="R229" s="40"/>
      <c r="S229" s="40"/>
    </row>
    <row r="230" spans="16:19">
      <c r="P230" s="40"/>
      <c r="Q230" s="40"/>
      <c r="R230" s="40"/>
      <c r="S230" s="40"/>
    </row>
    <row r="231" spans="16:19">
      <c r="P231" s="40"/>
      <c r="Q231" s="40"/>
      <c r="R231" s="40"/>
      <c r="S231" s="40"/>
    </row>
    <row r="232" spans="16:19">
      <c r="P232" s="40"/>
      <c r="Q232" s="40"/>
      <c r="R232" s="40"/>
      <c r="S232" s="40"/>
    </row>
    <row r="233" spans="16:19">
      <c r="P233" s="40"/>
      <c r="Q233" s="40"/>
      <c r="R233" s="40"/>
      <c r="S233" s="40"/>
    </row>
    <row r="234" spans="16:19">
      <c r="P234" s="40"/>
      <c r="Q234" s="40"/>
      <c r="R234" s="40"/>
      <c r="S234" s="40"/>
    </row>
    <row r="235" spans="16:19">
      <c r="P235" s="40"/>
      <c r="Q235" s="40"/>
      <c r="R235" s="40"/>
      <c r="S235" s="40"/>
    </row>
    <row r="236" spans="16:19">
      <c r="P236" s="40"/>
      <c r="Q236" s="40"/>
      <c r="R236" s="40"/>
      <c r="S236" s="40"/>
    </row>
    <row r="237" spans="16:19">
      <c r="P237" s="40"/>
      <c r="Q237" s="40"/>
      <c r="R237" s="40"/>
      <c r="S237" s="40"/>
    </row>
    <row r="238" spans="16:19">
      <c r="P238" s="40"/>
      <c r="Q238" s="40"/>
      <c r="R238" s="40"/>
      <c r="S238" s="40"/>
    </row>
    <row r="239" spans="16:19">
      <c r="P239" s="40"/>
      <c r="Q239" s="40"/>
      <c r="R239" s="40"/>
      <c r="S239" s="40"/>
    </row>
    <row r="240" spans="16:19">
      <c r="P240" s="40"/>
      <c r="Q240" s="40"/>
      <c r="R240" s="40"/>
      <c r="S240" s="40"/>
    </row>
    <row r="241" spans="16:19">
      <c r="P241" s="40"/>
      <c r="Q241" s="40"/>
      <c r="R241" s="40"/>
      <c r="S241" s="40"/>
    </row>
    <row r="242" spans="16:19">
      <c r="P242" s="40"/>
      <c r="Q242" s="40"/>
      <c r="R242" s="40"/>
      <c r="S242" s="40"/>
    </row>
    <row r="243" spans="16:19">
      <c r="P243" s="40"/>
      <c r="Q243" s="40"/>
      <c r="R243" s="40"/>
      <c r="S243" s="40"/>
    </row>
    <row r="244" spans="16:19">
      <c r="P244" s="40"/>
      <c r="Q244" s="40"/>
      <c r="R244" s="40"/>
      <c r="S244" s="40"/>
    </row>
    <row r="245" spans="16:19">
      <c r="P245" s="40"/>
      <c r="Q245" s="40"/>
      <c r="R245" s="40"/>
      <c r="S245" s="40"/>
    </row>
    <row r="246" spans="16:19">
      <c r="P246" s="40"/>
      <c r="Q246" s="40"/>
      <c r="R246" s="40"/>
      <c r="S246" s="40"/>
    </row>
    <row r="247" spans="16:19">
      <c r="P247" s="40"/>
      <c r="Q247" s="40"/>
      <c r="R247" s="40"/>
      <c r="S247" s="40"/>
    </row>
    <row r="248" spans="16:19">
      <c r="P248" s="40"/>
      <c r="Q248" s="40"/>
      <c r="R248" s="40"/>
      <c r="S248" s="40"/>
    </row>
    <row r="249" spans="16:19">
      <c r="P249" s="40"/>
      <c r="Q249" s="40"/>
      <c r="R249" s="40"/>
      <c r="S249" s="40"/>
    </row>
    <row r="250" spans="16:19">
      <c r="P250" s="40"/>
      <c r="Q250" s="40"/>
      <c r="R250" s="40"/>
      <c r="S250" s="40"/>
    </row>
    <row r="251" spans="16:19">
      <c r="P251" s="40"/>
      <c r="Q251" s="40"/>
      <c r="R251" s="40"/>
      <c r="S251" s="40"/>
    </row>
    <row r="252" spans="16:19">
      <c r="P252" s="40"/>
      <c r="Q252" s="40"/>
      <c r="R252" s="40"/>
      <c r="S252" s="40"/>
    </row>
    <row r="253" spans="16:19">
      <c r="P253" s="40"/>
      <c r="Q253" s="40"/>
      <c r="R253" s="40"/>
      <c r="S253" s="40"/>
    </row>
    <row r="254" spans="16:19">
      <c r="P254" s="40"/>
      <c r="Q254" s="40"/>
      <c r="R254" s="40"/>
      <c r="S254" s="40"/>
    </row>
    <row r="255" spans="16:19">
      <c r="P255" s="40"/>
      <c r="Q255" s="40"/>
      <c r="R255" s="40"/>
      <c r="S255" s="40"/>
    </row>
    <row r="256" spans="16:19">
      <c r="P256" s="40"/>
      <c r="Q256" s="40"/>
      <c r="R256" s="40"/>
      <c r="S256" s="40"/>
    </row>
    <row r="257" spans="16:19">
      <c r="P257" s="40"/>
      <c r="Q257" s="40"/>
      <c r="R257" s="40"/>
      <c r="S257" s="40"/>
    </row>
    <row r="258" spans="16:19">
      <c r="P258" s="40"/>
      <c r="Q258" s="40"/>
      <c r="R258" s="40"/>
      <c r="S258" s="40"/>
    </row>
    <row r="259" spans="16:19">
      <c r="P259" s="40"/>
      <c r="Q259" s="40"/>
      <c r="R259" s="40"/>
      <c r="S259" s="40"/>
    </row>
    <row r="260" spans="16:19">
      <c r="P260" s="40"/>
      <c r="Q260" s="40"/>
      <c r="R260" s="40"/>
      <c r="S260" s="40"/>
    </row>
    <row r="261" spans="16:19">
      <c r="P261" s="40"/>
      <c r="Q261" s="40"/>
      <c r="R261" s="40"/>
      <c r="S261" s="40"/>
    </row>
    <row r="262" spans="16:19">
      <c r="P262" s="40"/>
      <c r="Q262" s="40"/>
      <c r="R262" s="40"/>
      <c r="S262" s="40"/>
    </row>
    <row r="263" spans="16:19">
      <c r="P263" s="40"/>
      <c r="Q263" s="40"/>
      <c r="R263" s="40"/>
      <c r="S263" s="40"/>
    </row>
    <row r="264" spans="16:19">
      <c r="P264" s="40"/>
      <c r="Q264" s="40"/>
      <c r="R264" s="40"/>
      <c r="S264" s="40"/>
    </row>
    <row r="265" spans="16:19">
      <c r="P265" s="40"/>
      <c r="Q265" s="40"/>
      <c r="R265" s="40"/>
      <c r="S265" s="40"/>
    </row>
    <row r="266" spans="16:19">
      <c r="P266" s="40"/>
      <c r="Q266" s="40"/>
      <c r="R266" s="40"/>
      <c r="S266" s="40"/>
    </row>
    <row r="267" spans="16:19">
      <c r="P267" s="40"/>
      <c r="Q267" s="40"/>
      <c r="R267" s="40"/>
      <c r="S267" s="40"/>
    </row>
    <row r="268" spans="16:19">
      <c r="P268" s="40"/>
      <c r="Q268" s="40"/>
      <c r="R268" s="40"/>
      <c r="S268" s="40"/>
    </row>
    <row r="269" spans="16:19">
      <c r="P269" s="40"/>
      <c r="Q269" s="40"/>
      <c r="R269" s="40"/>
      <c r="S269" s="40"/>
    </row>
    <row r="270" spans="16:19">
      <c r="P270" s="40"/>
      <c r="Q270" s="40"/>
      <c r="R270" s="40"/>
      <c r="S270" s="40"/>
    </row>
    <row r="271" spans="16:19">
      <c r="P271" s="40"/>
      <c r="Q271" s="40"/>
      <c r="R271" s="40"/>
      <c r="S271" s="40"/>
    </row>
    <row r="272" spans="16:19">
      <c r="P272" s="40"/>
      <c r="Q272" s="40"/>
      <c r="R272" s="40"/>
      <c r="S272" s="40"/>
    </row>
    <row r="273" spans="16:19">
      <c r="P273" s="40"/>
      <c r="Q273" s="40"/>
      <c r="R273" s="40"/>
      <c r="S273" s="40"/>
    </row>
    <row r="274" spans="16:19">
      <c r="P274" s="40"/>
      <c r="Q274" s="40"/>
      <c r="R274" s="40"/>
      <c r="S274" s="40"/>
    </row>
    <row r="275" spans="16:19">
      <c r="P275" s="40"/>
      <c r="Q275" s="40"/>
      <c r="R275" s="40"/>
      <c r="S275" s="40"/>
    </row>
    <row r="276" spans="16:19">
      <c r="P276" s="40"/>
      <c r="Q276" s="40"/>
      <c r="R276" s="40"/>
      <c r="S276" s="40"/>
    </row>
    <row r="277" spans="16:19">
      <c r="P277" s="40"/>
      <c r="Q277" s="40"/>
      <c r="R277" s="40"/>
      <c r="S277" s="40"/>
    </row>
    <row r="278" spans="16:19">
      <c r="P278" s="40"/>
      <c r="Q278" s="40"/>
      <c r="R278" s="40"/>
      <c r="S278" s="40"/>
    </row>
    <row r="279" spans="16:19">
      <c r="P279" s="40"/>
      <c r="Q279" s="40"/>
      <c r="R279" s="40"/>
      <c r="S279" s="40"/>
    </row>
    <row r="280" spans="16:19">
      <c r="P280" s="40"/>
      <c r="Q280" s="40"/>
      <c r="R280" s="40"/>
      <c r="S280" s="40"/>
    </row>
    <row r="281" spans="16:19">
      <c r="P281" s="40"/>
      <c r="Q281" s="40"/>
      <c r="R281" s="40"/>
      <c r="S281" s="40"/>
    </row>
    <row r="282" spans="16:19">
      <c r="P282" s="40"/>
      <c r="Q282" s="40"/>
      <c r="R282" s="40"/>
      <c r="S282" s="40"/>
    </row>
    <row r="283" spans="16:19">
      <c r="P283" s="40"/>
      <c r="Q283" s="40"/>
      <c r="R283" s="40"/>
      <c r="S283" s="40"/>
    </row>
    <row r="284" spans="16:19">
      <c r="P284" s="40"/>
      <c r="Q284" s="40"/>
      <c r="R284" s="40"/>
      <c r="S284" s="40"/>
    </row>
    <row r="285" spans="16:19">
      <c r="P285" s="40"/>
      <c r="Q285" s="40"/>
      <c r="R285" s="40"/>
      <c r="S285" s="40"/>
    </row>
    <row r="286" spans="16:19">
      <c r="P286" s="40"/>
      <c r="Q286" s="40"/>
      <c r="R286" s="40"/>
      <c r="S286" s="40"/>
    </row>
    <row r="287" spans="16:19">
      <c r="P287" s="40"/>
      <c r="Q287" s="40"/>
      <c r="R287" s="40"/>
      <c r="S287" s="40"/>
    </row>
    <row r="288" spans="16:19">
      <c r="P288" s="40"/>
      <c r="Q288" s="40"/>
      <c r="R288" s="40"/>
      <c r="S288" s="40"/>
    </row>
    <row r="289" spans="16:19">
      <c r="P289" s="40"/>
      <c r="Q289" s="40"/>
      <c r="R289" s="40"/>
      <c r="S289" s="40"/>
    </row>
    <row r="290" spans="16:19">
      <c r="P290" s="40"/>
      <c r="Q290" s="40"/>
      <c r="R290" s="40"/>
      <c r="S290" s="40"/>
    </row>
    <row r="291" spans="16:19">
      <c r="P291" s="40"/>
      <c r="Q291" s="40"/>
      <c r="R291" s="40"/>
      <c r="S291" s="40"/>
    </row>
    <row r="292" spans="16:19">
      <c r="P292" s="40"/>
      <c r="Q292" s="40"/>
      <c r="R292" s="40"/>
      <c r="S292" s="40"/>
    </row>
    <row r="293" spans="16:19">
      <c r="P293" s="40"/>
      <c r="Q293" s="40"/>
      <c r="R293" s="40"/>
      <c r="S293" s="40"/>
    </row>
    <row r="294" spans="16:19">
      <c r="P294" s="40"/>
      <c r="Q294" s="40"/>
      <c r="R294" s="40"/>
      <c r="S294" s="40"/>
    </row>
    <row r="295" spans="16:19">
      <c r="P295" s="40"/>
      <c r="Q295" s="40"/>
      <c r="R295" s="40"/>
      <c r="S295" s="40"/>
    </row>
    <row r="296" spans="16:19">
      <c r="P296" s="40"/>
      <c r="Q296" s="40"/>
      <c r="R296" s="40"/>
      <c r="S296" s="40"/>
    </row>
    <row r="297" spans="16:19">
      <c r="P297" s="40"/>
      <c r="Q297" s="40"/>
      <c r="R297" s="40"/>
      <c r="S297" s="40"/>
    </row>
    <row r="298" spans="16:19">
      <c r="P298" s="40"/>
      <c r="Q298" s="40"/>
      <c r="R298" s="40"/>
      <c r="S298" s="40"/>
    </row>
    <row r="299" spans="16:19">
      <c r="P299" s="40"/>
      <c r="Q299" s="40"/>
      <c r="R299" s="40"/>
      <c r="S299" s="40"/>
    </row>
    <row r="300" spans="16:19">
      <c r="P300" s="40"/>
      <c r="Q300" s="40"/>
      <c r="R300" s="40"/>
      <c r="S300" s="40"/>
    </row>
    <row r="301" spans="16:19">
      <c r="P301" s="40"/>
      <c r="Q301" s="40"/>
      <c r="R301" s="40"/>
      <c r="S301" s="40"/>
    </row>
    <row r="302" spans="16:19">
      <c r="P302" s="40"/>
      <c r="Q302" s="40"/>
      <c r="R302" s="40"/>
      <c r="S302" s="40"/>
    </row>
    <row r="303" spans="16:19">
      <c r="P303" s="40"/>
      <c r="Q303" s="40"/>
      <c r="R303" s="40"/>
      <c r="S303" s="40"/>
    </row>
    <row r="304" spans="16:19">
      <c r="P304" s="40"/>
      <c r="Q304" s="40"/>
      <c r="R304" s="40"/>
      <c r="S304" s="40"/>
    </row>
    <row r="305" spans="16:19">
      <c r="P305" s="40"/>
      <c r="Q305" s="40"/>
      <c r="R305" s="40"/>
      <c r="S305" s="40"/>
    </row>
    <row r="306" spans="16:19">
      <c r="P306" s="40"/>
      <c r="Q306" s="40"/>
      <c r="R306" s="40"/>
      <c r="S306" s="40"/>
    </row>
    <row r="307" spans="16:19">
      <c r="P307" s="40"/>
      <c r="Q307" s="40"/>
      <c r="R307" s="40"/>
      <c r="S307" s="40"/>
    </row>
    <row r="308" spans="16:19">
      <c r="P308" s="40"/>
      <c r="Q308" s="40"/>
      <c r="R308" s="40"/>
      <c r="S308" s="40"/>
    </row>
    <row r="309" spans="16:19">
      <c r="P309" s="40"/>
      <c r="Q309" s="40"/>
      <c r="R309" s="40"/>
      <c r="S309" s="40"/>
    </row>
    <row r="310" spans="16:19">
      <c r="P310" s="40"/>
      <c r="Q310" s="40"/>
      <c r="R310" s="40"/>
      <c r="S310" s="40"/>
    </row>
    <row r="311" spans="16:19">
      <c r="P311" s="40"/>
      <c r="Q311" s="40"/>
      <c r="R311" s="40"/>
      <c r="S311" s="40"/>
    </row>
    <row r="312" spans="16:19">
      <c r="P312" s="40"/>
      <c r="Q312" s="40"/>
      <c r="R312" s="40"/>
      <c r="S312" s="40"/>
    </row>
    <row r="313" spans="16:19">
      <c r="P313" s="40"/>
      <c r="Q313" s="40"/>
      <c r="R313" s="40"/>
      <c r="S313" s="40"/>
    </row>
    <row r="314" spans="16:19">
      <c r="P314" s="40"/>
      <c r="Q314" s="40"/>
      <c r="R314" s="40"/>
      <c r="S314" s="40"/>
    </row>
    <row r="315" spans="16:19">
      <c r="P315" s="40"/>
      <c r="Q315" s="40"/>
      <c r="R315" s="40"/>
      <c r="S315" s="40"/>
    </row>
    <row r="316" spans="16:19">
      <c r="P316" s="40"/>
      <c r="Q316" s="40"/>
      <c r="R316" s="40"/>
      <c r="S316" s="40"/>
    </row>
    <row r="317" spans="16:19">
      <c r="P317" s="40"/>
      <c r="Q317" s="40"/>
      <c r="R317" s="40"/>
      <c r="S317" s="40"/>
    </row>
    <row r="318" spans="16:19">
      <c r="P318" s="40"/>
      <c r="Q318" s="40"/>
      <c r="R318" s="40"/>
      <c r="S318" s="40"/>
    </row>
    <row r="319" spans="16:19">
      <c r="P319" s="40"/>
      <c r="Q319" s="40"/>
      <c r="R319" s="40"/>
      <c r="S319" s="40"/>
    </row>
    <row r="320" spans="16:19">
      <c r="P320" s="40"/>
      <c r="Q320" s="40"/>
      <c r="R320" s="40"/>
      <c r="S320" s="40"/>
    </row>
    <row r="321" spans="16:19">
      <c r="P321" s="40"/>
      <c r="Q321" s="40"/>
      <c r="R321" s="40"/>
      <c r="S321" s="40"/>
    </row>
    <row r="322" spans="16:19">
      <c r="P322" s="40"/>
      <c r="Q322" s="40"/>
      <c r="R322" s="40"/>
      <c r="S322" s="40"/>
    </row>
    <row r="323" spans="16:19">
      <c r="P323" s="40"/>
      <c r="Q323" s="40"/>
      <c r="R323" s="40"/>
      <c r="S323" s="40"/>
    </row>
    <row r="324" spans="16:19">
      <c r="P324" s="40"/>
      <c r="Q324" s="40"/>
      <c r="R324" s="40"/>
      <c r="S324" s="40"/>
    </row>
    <row r="325" spans="16:19">
      <c r="P325" s="40"/>
      <c r="Q325" s="40"/>
      <c r="R325" s="40"/>
      <c r="S325" s="40"/>
    </row>
    <row r="326" spans="16:19">
      <c r="P326" s="40"/>
      <c r="Q326" s="40"/>
      <c r="R326" s="40"/>
      <c r="S326" s="40"/>
    </row>
    <row r="327" spans="16:19">
      <c r="P327" s="40"/>
      <c r="Q327" s="40"/>
      <c r="R327" s="40"/>
      <c r="S327" s="40"/>
    </row>
    <row r="328" spans="16:19">
      <c r="P328" s="40"/>
      <c r="Q328" s="40"/>
      <c r="R328" s="40"/>
      <c r="S328" s="40"/>
    </row>
    <row r="329" spans="16:19">
      <c r="P329" s="40"/>
      <c r="Q329" s="40"/>
      <c r="R329" s="40"/>
      <c r="S329" s="40"/>
    </row>
    <row r="330" spans="16:19">
      <c r="P330" s="40"/>
      <c r="Q330" s="40"/>
      <c r="R330" s="40"/>
      <c r="S330" s="40"/>
    </row>
    <row r="331" spans="16:19">
      <c r="P331" s="40"/>
      <c r="Q331" s="40"/>
      <c r="R331" s="40"/>
      <c r="S331" s="40"/>
    </row>
    <row r="332" spans="16:19">
      <c r="P332" s="40"/>
      <c r="Q332" s="40"/>
      <c r="R332" s="40"/>
      <c r="S332" s="40"/>
    </row>
    <row r="333" spans="16:19">
      <c r="P333" s="40"/>
      <c r="Q333" s="40"/>
      <c r="R333" s="40"/>
      <c r="S333" s="40"/>
    </row>
    <row r="334" spans="16:19">
      <c r="P334" s="40"/>
      <c r="Q334" s="40"/>
      <c r="R334" s="40"/>
      <c r="S334" s="40"/>
    </row>
    <row r="335" spans="16:19">
      <c r="P335" s="40"/>
      <c r="Q335" s="40"/>
      <c r="R335" s="40"/>
      <c r="S335" s="40"/>
    </row>
    <row r="336" spans="16:19">
      <c r="P336" s="40"/>
      <c r="Q336" s="40"/>
      <c r="R336" s="40"/>
      <c r="S336" s="40"/>
    </row>
    <row r="337" spans="16:19">
      <c r="P337" s="40"/>
      <c r="Q337" s="40"/>
      <c r="R337" s="40"/>
      <c r="S337" s="40"/>
    </row>
    <row r="338" spans="16:19">
      <c r="P338" s="40"/>
      <c r="Q338" s="40"/>
      <c r="R338" s="40"/>
      <c r="S338" s="40"/>
    </row>
    <row r="339" spans="16:19">
      <c r="P339" s="40"/>
      <c r="Q339" s="40"/>
      <c r="R339" s="40"/>
      <c r="S339" s="40"/>
    </row>
    <row r="340" spans="16:19">
      <c r="P340" s="40"/>
      <c r="Q340" s="40"/>
      <c r="R340" s="40"/>
      <c r="S340" s="40"/>
    </row>
    <row r="341" spans="16:19">
      <c r="P341" s="40"/>
      <c r="Q341" s="40"/>
      <c r="R341" s="40"/>
      <c r="S341" s="40"/>
    </row>
    <row r="342" spans="16:19">
      <c r="P342" s="40"/>
      <c r="Q342" s="40"/>
      <c r="R342" s="40"/>
      <c r="S342" s="40"/>
    </row>
    <row r="343" spans="16:19">
      <c r="P343" s="40"/>
      <c r="Q343" s="40"/>
      <c r="R343" s="40"/>
      <c r="S343" s="40"/>
    </row>
    <row r="344" spans="16:19">
      <c r="P344" s="40"/>
      <c r="Q344" s="40"/>
      <c r="R344" s="40"/>
      <c r="S344" s="40"/>
    </row>
    <row r="345" spans="16:19">
      <c r="P345" s="40"/>
      <c r="Q345" s="40"/>
      <c r="R345" s="40"/>
      <c r="S345" s="40"/>
    </row>
    <row r="346" spans="16:19">
      <c r="P346" s="40"/>
      <c r="Q346" s="40"/>
      <c r="R346" s="40"/>
      <c r="S346" s="40"/>
    </row>
    <row r="347" spans="16:19">
      <c r="P347" s="40"/>
      <c r="Q347" s="40"/>
      <c r="R347" s="40"/>
      <c r="S347" s="40"/>
    </row>
    <row r="348" spans="16:19">
      <c r="P348" s="40"/>
      <c r="Q348" s="40"/>
      <c r="R348" s="40"/>
      <c r="S348" s="40"/>
    </row>
    <row r="349" spans="16:19">
      <c r="P349" s="40"/>
      <c r="Q349" s="40"/>
      <c r="R349" s="40"/>
      <c r="S349" s="40"/>
    </row>
    <row r="350" spans="16:19">
      <c r="P350" s="40"/>
      <c r="Q350" s="40"/>
      <c r="R350" s="40"/>
      <c r="S350" s="40"/>
    </row>
    <row r="351" spans="16:19">
      <c r="P351" s="40"/>
      <c r="Q351" s="40"/>
      <c r="R351" s="40"/>
      <c r="S351" s="40"/>
    </row>
    <row r="352" spans="16:19">
      <c r="P352" s="40"/>
      <c r="Q352" s="40"/>
      <c r="R352" s="40"/>
      <c r="S352" s="40"/>
    </row>
    <row r="353" spans="16:19">
      <c r="P353" s="40"/>
      <c r="Q353" s="40"/>
      <c r="R353" s="40"/>
      <c r="S353" s="40"/>
    </row>
    <row r="354" spans="16:19">
      <c r="P354" s="40"/>
      <c r="Q354" s="40"/>
      <c r="R354" s="40"/>
      <c r="S354" s="40"/>
    </row>
    <row r="355" spans="16:19">
      <c r="P355" s="40"/>
      <c r="Q355" s="40"/>
      <c r="R355" s="40"/>
      <c r="S355" s="40"/>
    </row>
    <row r="356" spans="16:19">
      <c r="P356" s="40"/>
      <c r="Q356" s="40"/>
      <c r="R356" s="40"/>
      <c r="S356" s="40"/>
    </row>
    <row r="357" spans="16:19">
      <c r="P357" s="40"/>
      <c r="Q357" s="40"/>
      <c r="R357" s="40"/>
      <c r="S357" s="40"/>
    </row>
    <row r="358" spans="16:19">
      <c r="P358" s="40"/>
      <c r="Q358" s="40"/>
      <c r="R358" s="40"/>
      <c r="S358" s="40"/>
    </row>
    <row r="359" spans="16:19">
      <c r="P359" s="40"/>
      <c r="Q359" s="40"/>
      <c r="R359" s="40"/>
      <c r="S359" s="40"/>
    </row>
    <row r="360" spans="16:19">
      <c r="P360" s="40"/>
      <c r="Q360" s="40"/>
      <c r="R360" s="40"/>
      <c r="S360" s="40"/>
    </row>
    <row r="361" spans="16:19">
      <c r="P361" s="40"/>
      <c r="Q361" s="40"/>
      <c r="R361" s="40"/>
      <c r="S361" s="40"/>
    </row>
    <row r="362" spans="16:19">
      <c r="P362" s="40"/>
      <c r="Q362" s="40"/>
      <c r="R362" s="40"/>
      <c r="S362" s="40"/>
    </row>
    <row r="363" spans="16:19">
      <c r="P363" s="40"/>
      <c r="Q363" s="40"/>
      <c r="R363" s="40"/>
      <c r="S363" s="40"/>
    </row>
    <row r="364" spans="16:19">
      <c r="P364" s="40"/>
      <c r="Q364" s="40"/>
      <c r="R364" s="40"/>
      <c r="S364" s="40"/>
    </row>
    <row r="365" spans="16:19">
      <c r="P365" s="40"/>
      <c r="Q365" s="40"/>
      <c r="R365" s="40"/>
      <c r="S365" s="40"/>
    </row>
    <row r="366" spans="16:19">
      <c r="P366" s="40"/>
      <c r="Q366" s="40"/>
      <c r="R366" s="40"/>
      <c r="S366" s="40"/>
    </row>
    <row r="367" spans="16:19">
      <c r="P367" s="40"/>
      <c r="Q367" s="40"/>
      <c r="R367" s="40"/>
      <c r="S367" s="40"/>
    </row>
    <row r="368" spans="16:19">
      <c r="P368" s="40"/>
      <c r="Q368" s="40"/>
      <c r="R368" s="40"/>
      <c r="S368" s="40"/>
    </row>
    <row r="369" spans="16:19">
      <c r="P369" s="40"/>
      <c r="Q369" s="40"/>
      <c r="R369" s="40"/>
      <c r="S369" s="40"/>
    </row>
    <row r="370" spans="16:19">
      <c r="P370" s="40"/>
      <c r="Q370" s="40"/>
      <c r="R370" s="40"/>
      <c r="S370" s="40"/>
    </row>
    <row r="371" spans="16:19">
      <c r="P371" s="40"/>
      <c r="Q371" s="40"/>
      <c r="R371" s="40"/>
      <c r="S371" s="40"/>
    </row>
    <row r="372" spans="16:19">
      <c r="P372" s="40"/>
      <c r="Q372" s="40"/>
      <c r="R372" s="40"/>
      <c r="S372" s="40"/>
    </row>
    <row r="373" spans="16:19">
      <c r="P373" s="40"/>
      <c r="Q373" s="40"/>
      <c r="R373" s="40"/>
      <c r="S373" s="40"/>
    </row>
    <row r="374" spans="16:19">
      <c r="P374" s="40"/>
      <c r="Q374" s="40"/>
      <c r="R374" s="40"/>
      <c r="S374" s="40"/>
    </row>
    <row r="375" spans="16:19">
      <c r="P375" s="40"/>
      <c r="Q375" s="40"/>
      <c r="R375" s="40"/>
      <c r="S375" s="40"/>
    </row>
    <row r="376" spans="16:19">
      <c r="P376" s="40"/>
      <c r="Q376" s="40"/>
      <c r="R376" s="40"/>
      <c r="S376" s="40"/>
    </row>
    <row r="377" spans="16:19">
      <c r="P377" s="40"/>
      <c r="Q377" s="40"/>
      <c r="R377" s="40"/>
      <c r="S377" s="40"/>
    </row>
    <row r="378" spans="16:19">
      <c r="P378" s="40"/>
      <c r="Q378" s="40"/>
      <c r="R378" s="40"/>
      <c r="S378" s="40"/>
    </row>
    <row r="379" spans="16:19">
      <c r="P379" s="40"/>
      <c r="Q379" s="40"/>
      <c r="R379" s="40"/>
      <c r="S379" s="40"/>
    </row>
    <row r="380" spans="16:19">
      <c r="P380" s="40"/>
      <c r="Q380" s="40"/>
      <c r="R380" s="40"/>
      <c r="S380" s="40"/>
    </row>
    <row r="381" spans="16:19">
      <c r="P381" s="40"/>
      <c r="Q381" s="40"/>
      <c r="R381" s="40"/>
      <c r="S381" s="40"/>
    </row>
    <row r="382" spans="16:19">
      <c r="P382" s="40"/>
      <c r="Q382" s="40"/>
      <c r="R382" s="40"/>
      <c r="S382" s="40"/>
    </row>
    <row r="383" spans="16:19">
      <c r="P383" s="40"/>
      <c r="Q383" s="40"/>
      <c r="R383" s="40"/>
      <c r="S383" s="40"/>
    </row>
    <row r="384" spans="16:19">
      <c r="P384" s="40"/>
      <c r="Q384" s="40"/>
      <c r="R384" s="40"/>
      <c r="S384" s="40"/>
    </row>
  </sheetData>
  <sortState ref="I2:I58">
    <sortCondition ref="I1"/>
  </sortState>
  <customSheetViews>
    <customSheetView guid="{9692233C-0F2E-654E-8AC6-8C4CF1DC23E8}" scale="74" showGridLines="0" hiddenRows="1" hiddenColumns="1" topLeftCell="A20">
      <selection activeCell="U25" sqref="U25:Y25"/>
      <pageMargins left="0.7" right="0.7" top="0.75" bottom="0.75" header="0.3" footer="0.3"/>
    </customSheetView>
    <customSheetView guid="{F88BE81C-8BBC-CE40-9183-746E883A9C1B}" topLeftCell="S19">
      <selection activeCell="P21" sqref="P21:Y21"/>
      <pageMargins left="0.7" right="0.7" top="0.75" bottom="0.75" header="0.3" footer="0.3"/>
    </customSheetView>
  </customSheetViews>
  <mergeCells count="4">
    <mergeCell ref="N28:N29"/>
    <mergeCell ref="N31:N32"/>
    <mergeCell ref="N34:N35"/>
    <mergeCell ref="N37:N38"/>
  </mergeCells>
  <conditionalFormatting sqref="K5">
    <cfRule type="cellIs" dxfId="1" priority="39" operator="equal">
      <formula>$G$2</formula>
    </cfRule>
  </conditionalFormatting>
  <conditionalFormatting sqref="H2:H33">
    <cfRule type="cellIs" dxfId="0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Down2">
              <controlPr defaultSize="0" autoLine="0" autoPict="0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14</xdr:col>
                    <xdr:colOff>0</xdr:colOff>
                    <xdr:row>30</xdr:row>
                    <xdr:rowOff>8626</xdr:rowOff>
                  </from>
                  <to>
                    <xdr:col>15</xdr:col>
                    <xdr:colOff>0</xdr:colOff>
                    <xdr:row>31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Drop Down 4">
              <controlPr defaultSize="0" autoLine="0" autoPict="0">
                <anchor moveWithCells="1">
                  <from>
                    <xdr:col>14</xdr:col>
                    <xdr:colOff>8626</xdr:colOff>
                    <xdr:row>33</xdr:row>
                    <xdr:rowOff>8626</xdr:rowOff>
                  </from>
                  <to>
                    <xdr:col>15</xdr:col>
                    <xdr:colOff>0</xdr:colOff>
                    <xdr:row>34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Drop Down 5">
              <controlPr defaultSize="0" autoLine="0" autoPict="0">
                <anchor moveWithCells="1">
                  <from>
                    <xdr:col>14</xdr:col>
                    <xdr:colOff>8626</xdr:colOff>
                    <xdr:row>36</xdr:row>
                    <xdr:rowOff>8626</xdr:rowOff>
                  </from>
                  <to>
                    <xdr:col>15</xdr:col>
                    <xdr:colOff>0</xdr:colOff>
                    <xdr:row>37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Group Box 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77638</xdr:rowOff>
                  </from>
                  <to>
                    <xdr:col>5</xdr:col>
                    <xdr:colOff>534838</xdr:colOff>
                    <xdr:row>39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CopyDataButton_Click">
                <anchor moveWithCells="1" sizeWithCells="1">
                  <from>
                    <xdr:col>13</xdr:col>
                    <xdr:colOff>491706</xdr:colOff>
                    <xdr:row>39</xdr:row>
                    <xdr:rowOff>0</xdr:rowOff>
                  </from>
                  <to>
                    <xdr:col>14</xdr:col>
                    <xdr:colOff>1440611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Sheet1</vt:lpstr>
      <vt:lpstr>Faculity</vt:lpstr>
      <vt:lpstr>Courses</vt:lpstr>
      <vt:lpstr>Sheet2</vt:lpstr>
      <vt:lpstr>Sheet4</vt:lpstr>
      <vt:lpstr>MasterSheet</vt:lpstr>
      <vt:lpstr>CourseList</vt:lpstr>
      <vt:lpstr>Days</vt:lpstr>
      <vt:lpstr>Name</vt:lpstr>
      <vt:lpstr>ProfessorClass</vt:lpstr>
      <vt:lpstr>ProfFullTime</vt:lpstr>
      <vt:lpstr>ProfFullTimeUsed</vt:lpstr>
      <vt:lpstr>ProfPartTime</vt:lpstr>
      <vt:lpstr>ProfPartTimeUsed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Jason.Perfetto</cp:lastModifiedBy>
  <dcterms:created xsi:type="dcterms:W3CDTF">2018-02-07T17:03:39Z</dcterms:created>
  <dcterms:modified xsi:type="dcterms:W3CDTF">2018-02-20T20:14:19Z</dcterms:modified>
</cp:coreProperties>
</file>