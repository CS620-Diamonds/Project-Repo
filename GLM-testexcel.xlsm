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echhoncho-my.sharepoint.com/personal/gmiller_techhoncho_com/Documents/Internal/Bentley/SP2018/CS620/Project/"/>
    </mc:Choice>
  </mc:AlternateContent>
  <xr:revisionPtr revIDLastSave="816" documentId="8_{A6A8FE1B-982E-43BB-8EB7-AE8EC0D03529}" xr6:coauthVersionLast="28" xr6:coauthVersionMax="28" xr10:uidLastSave="{E274E0E1-447D-442E-9549-C1F055EABB04}"/>
  <bookViews>
    <workbookView minimized="1" xWindow="0" yWindow="0" windowWidth="16605" windowHeight="10185" activeTab="5" xr2:uid="{C1C46FD2-3679-46FC-9279-7B323C354613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" i="6" l="1"/>
  <c r="T19" i="6"/>
  <c r="U19" i="6"/>
  <c r="V19" i="6"/>
  <c r="U18" i="6"/>
  <c r="T18" i="6"/>
  <c r="S19" i="6"/>
  <c r="S18" i="6"/>
  <c r="X2" i="6" l="1"/>
  <c r="W3" i="6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V3" i="6" l="1"/>
  <c r="U3" i="6"/>
  <c r="T3" i="6"/>
  <c r="I18" i="2"/>
  <c r="F19" i="5" l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G17" i="1"/>
  <c r="I18" i="1"/>
  <c r="I17" i="1"/>
  <c r="H18" i="1"/>
  <c r="G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<sst xmlns="http://schemas.openxmlformats.org/spreadsheetml/2006/main" count="965" uniqueCount="240">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</sst>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</font>
    <font>
      <sz val="14"/>
      <color rgb="FF00AAFF"/>
      <name val="Helvetica Neue"/>
    </font>
    <font>
      <sz val="14"/>
      <color rgb="FF333333"/>
      <name val="Helvetica Neue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38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2">
    <cellStyle name="Normal" xfId="0" builtinId="0"/>
    <cellStyle name="Normal 2" xfId="1" xr:uid="{A21AA347-AFBB-4020-A4F1-AEDDD9843D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28" val="24"/>
</file>

<file path=xl/ctrlProps/ctrlProp6.xml><?xml version="1.0" encoding="utf-8"?>
<formControlPr xmlns="http://schemas.microsoft.com/office/spreadsheetml/2009/9/main" objectType="Drop" dropStyle="combo" dx="22" fmlaLink="$U$2" fmlaRange="$J$2:$J$19" noThreeD="1" sel="11" val="10"/>
</file>

<file path=xl/ctrlProps/ctrlProp7.xml><?xml version="1.0" encoding="utf-8"?>
<formControlPr xmlns="http://schemas.microsoft.com/office/spreadsheetml/2009/9/main" objectType="Drop" dropStyle="combo" dx="22" fmlaLink="$V$2" fmlaRange="$K$2:$K$9" noThreeD="1" sel="8" val="0"/>
</file>

<file path=xl/ctrlProps/ctrlProp8.xml><?xml version="1.0" encoding="utf-8"?>
<formControlPr xmlns="http://schemas.microsoft.com/office/spreadsheetml/2009/9/main" objectType="Drop" dropStyle="combo" dx="22" fmlaLink="$W$2" fmlaRange="$L$2:$L$11" noThreeD="1" sel="8" val="2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19050</xdr:rowOff>
        </xdr:from>
        <xdr:to>
          <xdr:col>12</xdr:col>
          <xdr:colOff>28575</xdr:colOff>
          <xdr:row>7</xdr:row>
          <xdr:rowOff>19050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14</xdr:row>
          <xdr:rowOff>0</xdr:rowOff>
        </xdr:from>
        <xdr:to>
          <xdr:col>10</xdr:col>
          <xdr:colOff>590550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19050</xdr:rowOff>
        </xdr:from>
        <xdr:to>
          <xdr:col>13</xdr:col>
          <xdr:colOff>0</xdr:colOff>
          <xdr:row>9</xdr:row>
          <xdr:rowOff>171450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5</xdr:row>
          <xdr:rowOff>200025</xdr:rowOff>
        </xdr:from>
        <xdr:to>
          <xdr:col>28</xdr:col>
          <xdr:colOff>323850</xdr:colOff>
          <xdr:row>7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7</xdr:row>
          <xdr:rowOff>190500</xdr:rowOff>
        </xdr:from>
        <xdr:to>
          <xdr:col>28</xdr:col>
          <xdr:colOff>323850</xdr:colOff>
          <xdr:row>8</xdr:row>
          <xdr:rowOff>190500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219075</xdr:colOff>
          <xdr:row>10</xdr:row>
          <xdr:rowOff>9525</xdr:rowOff>
        </xdr:from>
        <xdr:to>
          <xdr:col>28</xdr:col>
          <xdr:colOff>333375</xdr:colOff>
          <xdr:row>11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12</xdr:row>
          <xdr:rowOff>9525</xdr:rowOff>
        </xdr:from>
        <xdr:to>
          <xdr:col>28</xdr:col>
          <xdr:colOff>342900</xdr:colOff>
          <xdr:row>13</xdr:row>
          <xdr:rowOff>9525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4</xdr:row>
          <xdr:rowOff>19050</xdr:rowOff>
        </xdr:from>
        <xdr:to>
          <xdr:col>30</xdr:col>
          <xdr:colOff>0</xdr:colOff>
          <xdr:row>18</xdr:row>
          <xdr:rowOff>38100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13</xdr:row>
          <xdr:rowOff>171450</xdr:rowOff>
        </xdr:from>
        <xdr:to>
          <xdr:col>27</xdr:col>
          <xdr:colOff>9525</xdr:colOff>
          <xdr:row>16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1CFE-5233-4366-A645-8A9169B0054C}">
  <sheetPr codeName="Sheet1"/>
  <dimension ref="A2:O33"/>
  <sheetViews>
    <sheetView workbookViewId="0">
      <selection activeCell="M7" sqref="M7"/>
    </sheetView>
  </sheetViews>
  <sheetFormatPr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0.5577727102888399</v>
      </c>
      <c r="C2" t="str">
        <f ca="1">INDEX($A$2:$A$33,RANK($B2,$B$2:$B$33))</f>
        <v>Anstasia Biggs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0.97490687180876623</v>
      </c>
      <c r="C3" t="str">
        <f t="shared" ref="C3:C33" ca="1" si="1">INDEX($A$2:$A$33,RANK($B3,$B$2:$B$33))</f>
        <v>Tamara Babaian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0.51969865534700743</v>
      </c>
      <c r="C4" t="str">
        <f t="shared" ca="1" si="1"/>
        <v>Joed Graf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3.129234418589244E-2</v>
      </c>
      <c r="C5" t="str">
        <f t="shared" ca="1" si="1"/>
        <v>Charles Wright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0.41835447170459961</v>
      </c>
      <c r="C6" t="str">
        <f t="shared" ca="1" si="1"/>
        <v>Anne Pugliese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0.78410239819098337</v>
      </c>
      <c r="C7" t="str">
        <f t="shared" ca="1" si="1"/>
        <v>Xinru Page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0.60768596542434605</v>
      </c>
      <c r="C8" t="str">
        <f t="shared" ca="1" si="1"/>
        <v>Jennifer Xu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0.6847589991671964</v>
      </c>
      <c r="C9" t="str">
        <f t="shared" ca="1" si="1"/>
        <v>Heikki Topi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0.3630504090773562</v>
      </c>
      <c r="C10" t="str">
        <f t="shared" ca="1" si="1"/>
        <v>David Rude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0.11689551159273426</v>
      </c>
      <c r="C11" t="str">
        <f t="shared" ca="1" si="1"/>
        <v>Daniel Sheehan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0.36816897595344922</v>
      </c>
      <c r="C12" t="str">
        <f t="shared" ca="1" si="1"/>
        <v>Trish Rice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0.97829730040292773</v>
      </c>
      <c r="C13" t="str">
        <f t="shared" ca="1" si="1"/>
        <v>Akram Ahmed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0.42124519158950746</v>
      </c>
      <c r="C14" t="str">
        <f t="shared" ca="1" si="1"/>
        <v>Joseph Nezuh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0.80090399968855852</v>
      </c>
      <c r="C15" t="str">
        <f t="shared" ca="1" si="1"/>
        <v>Elizabeth McCarron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0.9265904536682017</v>
      </c>
      <c r="C16" t="str">
        <f t="shared" ca="1" si="1"/>
        <v>Mark Frydenberg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0.61620931679587054</v>
      </c>
      <c r="C17" t="str">
        <f t="shared" ca="1" si="1"/>
        <v>Les Waguespack</v>
      </c>
      <c r="E17" t="str">
        <f t="shared" si="2"/>
        <v>David Yates</v>
      </c>
      <c r="G17" t="str">
        <f>RandomSelection($F$5:$F$8)</f>
        <v>pink</v>
      </c>
      <c r="H17" t="str">
        <f>RandomSelection($F$5:$F$8)</f>
        <v>pink</v>
      </c>
      <c r="I17" t="str">
        <f>RandomSelection($F$5:$F$8)</f>
        <v>pink</v>
      </c>
    </row>
    <row r="18" spans="1:9">
      <c r="A18" s="16" t="s">
        <v>48</v>
      </c>
      <c r="B18" s="15">
        <f t="shared" ca="1" si="0"/>
        <v>0.84223943722585515</v>
      </c>
      <c r="C18" t="str">
        <f t="shared" ca="1" si="1"/>
        <v>Wendy Lucas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8.0625537512970968E-2</v>
      </c>
      <c r="C19" t="str">
        <f t="shared" ca="1" si="1"/>
        <v>Robert Stubbs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0.6044968637892747</v>
      </c>
      <c r="C20" t="str">
        <f t="shared" ca="1" si="1"/>
        <v>David Yates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0.64650442765094929</v>
      </c>
      <c r="C21" t="str">
        <f t="shared" ca="1" si="1"/>
        <v>Bill Vanderclock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0.57893386934017788</v>
      </c>
      <c r="C22" t="str">
        <f t="shared" ca="1" si="1"/>
        <v>Donald Aucoin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0.9067605618135357</v>
      </c>
      <c r="C23" t="str">
        <f t="shared" ca="1" si="1"/>
        <v>Monica Garfield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0.48854863638891355</v>
      </c>
      <c r="C24" t="str">
        <f t="shared" ca="1" si="1"/>
        <v>Andrea Jones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0.48084216963828741</v>
      </c>
      <c r="C25" t="str">
        <f t="shared" ca="1" si="1"/>
        <v>Matthew Macarty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0.26186358960489409</v>
      </c>
      <c r="C26" t="str">
        <f t="shared" ca="1" si="1"/>
        <v>Gaurav Shah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0.75136008015752331</v>
      </c>
      <c r="C27" t="str">
        <f t="shared" ca="1" si="1"/>
        <v>James Pape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0.73140428588626782</v>
      </c>
      <c r="C28" t="str">
        <f t="shared" ca="1" si="1"/>
        <v>Bill Schiano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0.94021620924583293</v>
      </c>
      <c r="C29" t="str">
        <f t="shared" ca="1" si="1"/>
        <v>Jay Cooprider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7.2669349204281364E-2</v>
      </c>
      <c r="C30" t="str">
        <f t="shared" ca="1" si="1"/>
        <v>Stephen Tracy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0.55985502375650686</v>
      </c>
      <c r="C31" t="str">
        <f t="shared" ca="1" si="1"/>
        <v>Michael Banks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0.90111362369492143</v>
      </c>
      <c r="C32" t="str">
        <f t="shared" ca="1" si="1"/>
        <v>Vatche Ishakian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0.54158656276932038</v>
      </c>
      <c r="C33" t="str">
        <f t="shared" ca="1" si="1"/>
        <v>Mimoza Dimodugno</v>
      </c>
      <c r="E33" t="str">
        <f t="shared" si="2"/>
        <v>Charles Wright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19050</xdr:rowOff>
                  </from>
                  <to>
                    <xdr:col>12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972BB-3FBA-4976-85C4-EC57167F51A2}">
  <sheetPr codeName="Sheet2"/>
  <dimension ref="A1:M34"/>
  <sheetViews>
    <sheetView workbookViewId="0">
      <selection activeCell="B2" sqref="B2:E34"/>
    </sheetView>
  </sheetViews>
  <sheetFormatPr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2">
              <controlPr defaultSize="0" autoLine="0" autoPict="0">
                <anchor moveWithCells="1">
                  <from>
                    <xdr:col>8</xdr:col>
                    <xdr:colOff>133350</xdr:colOff>
                    <xdr:row>14</xdr:row>
                    <xdr:rowOff>0</xdr:rowOff>
                  </from>
                  <to>
                    <xdr:col>10</xdr:col>
                    <xdr:colOff>590550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EC1AE-E95E-41C8-8768-86E148B3D8DE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5703125" style="5" customWidth="1"/>
    <col min="8" max="8" width="26.28515625" style="5" customWidth="1"/>
    <col min="9" max="9" width="27.5703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E158-F2FB-4CDF-9F78-34C965FD8AB5}">
  <sheetPr codeName="Sheet4"/>
  <dimension ref="A2:J19"/>
  <sheetViews>
    <sheetView workbookViewId="0">
      <selection activeCell="E16" sqref="E16"/>
    </sheetView>
  </sheetViews>
  <sheetFormatPr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19050</xdr:rowOff>
                  </from>
                  <to>
                    <xdr:col>13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B81AD63-AF60-4F53-A922-1B564E2E310D}">
          <x14:formula1>
            <xm:f>MasterSheet!$I$2:$I$33</xm:f>
          </x14:formula1>
          <xm:sqref>G8</xm:sqref>
        </x14:dataValidation>
        <x14:dataValidation type="list" allowBlank="1" showInputMessage="1" showErrorMessage="1" xr:uid="{02638E93-08E0-41AD-A59C-DF65B29BC5BB}">
          <x14:formula1>
            <xm:f>MasterSheet!$J$2:$J$19</xm:f>
          </x14:formula1>
          <xm:sqref>H8</xm:sqref>
        </x14:dataValidation>
        <x14:dataValidation type="list" allowBlank="1" showInputMessage="1" showErrorMessage="1" xr:uid="{71E27EE4-1920-4698-B075-CBFB641978DF}">
          <x14:formula1>
            <xm:f>MasterSheet!$K$2:$K$8</xm:f>
          </x14:formula1>
          <xm:sqref>I8</xm:sqref>
        </x14:dataValidation>
        <x14:dataValidation type="list" allowBlank="1" showInputMessage="1" showErrorMessage="1" xr:uid="{DCA55582-644B-4D2C-AAFC-081CCD39DBC4}">
          <x14:formula1>
            <xm:f>MasterSheet!$L$4:$L$10</xm:f>
          </x14:formula1>
          <xm:sqref>J8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5BD0C-69E1-410F-8C3B-5E85DE414700}">
  <sheetPr codeName="Sheet6"/>
  <dimension ref="A1"/>
  <sheetViews>
    <sheetView workbookViewId="0">
      <selection activeCell="G7" sqref="G7"/>
    </sheetView>
  </sheetViews>
  <sheetFormatPr defaultRowHeight="15"/>
  <cols>
    <col min="1" max="1" width="15" bestFit="1" customWidth="1"/>
    <col min="4" max="4" width="17.85546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85BE-DD73-47A9-8055-CEC64982EEAF}">
  <sheetPr codeName="Sheet5"/>
  <dimension ref="C1:Z65"/>
  <sheetViews>
    <sheetView tabSelected="1" workbookViewId="0">
      <selection activeCell="L11" sqref="L11"/>
    </sheetView>
  </sheetViews>
  <sheetFormatPr defaultRowHeight="15"/>
  <cols>
    <col min="3" max="3" width="19" bestFit="1" customWidth="1"/>
    <col min="5" max="5" width="18.5703125" bestFit="1" customWidth="1"/>
    <col min="6" max="6" width="10.7109375" bestFit="1" customWidth="1"/>
    <col min="7" max="7" width="16.7109375" bestFit="1" customWidth="1"/>
    <col min="8" max="8" width="24.28515625" customWidth="1"/>
    <col min="10" max="10" width="20.85546875" customWidth="1"/>
    <col min="11" max="11" width="21.140625" customWidth="1"/>
    <col min="12" max="12" width="21.7109375" customWidth="1"/>
    <col min="13" max="13" width="25.140625" bestFit="1" customWidth="1"/>
    <col min="14" max="14" width="25.140625" customWidth="1"/>
    <col min="15" max="15" width="28.85546875" bestFit="1" customWidth="1"/>
    <col min="16" max="16" width="24.42578125" bestFit="1" customWidth="1"/>
    <col min="17" max="17" width="11.7109375" bestFit="1" customWidth="1"/>
    <col min="19" max="19" width="21.5703125" customWidth="1"/>
    <col min="20" max="21" width="21.42578125" bestFit="1" customWidth="1"/>
    <col min="22" max="22" width="22.42578125" bestFit="1" customWidth="1"/>
    <col min="23" max="23" width="17.7109375" bestFit="1" customWidth="1"/>
  </cols>
  <sheetData>
    <row r="1" spans="3:26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</row>
    <row r="2" spans="3:26" ht="15.75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>
        <f>G2-COUNTIF(P22:P47,I2)</f>
        <v>4</v>
      </c>
      <c r="I2" t="s">
        <v>23</v>
      </c>
      <c r="J2" s="6" t="s">
        <v>152</v>
      </c>
      <c r="K2" s="6" t="s">
        <v>79</v>
      </c>
      <c r="L2" s="6" t="s">
        <v>159</v>
      </c>
      <c r="M2">
        <v>21</v>
      </c>
      <c r="O2" t="s">
        <v>79</v>
      </c>
      <c r="P2" s="18" t="s">
        <v>219</v>
      </c>
      <c r="Q2" t="s">
        <v>220</v>
      </c>
      <c r="R2" s="6"/>
      <c r="T2">
        <v>28</v>
      </c>
      <c r="U2">
        <v>11</v>
      </c>
      <c r="V2">
        <v>8</v>
      </c>
      <c r="W2">
        <v>8</v>
      </c>
      <c r="X2">
        <f>(V2*V2)*W2</f>
        <v>512</v>
      </c>
    </row>
    <row r="3" spans="3:26" ht="15.75">
      <c r="C3">
        <v>1</v>
      </c>
      <c r="D3">
        <v>6</v>
      </c>
      <c r="E3" t="s">
        <v>49</v>
      </c>
      <c r="F3" t="s">
        <v>37</v>
      </c>
      <c r="G3">
        <f t="shared" ref="G3:G33" si="0">IF(F3="FT",4,IF(F3="Adjunct",2,))</f>
        <v>2</v>
      </c>
      <c r="H3">
        <f t="shared" ref="H3:H33" si="1">G3-COUNTIF(P23:P48,I3)</f>
        <v>2</v>
      </c>
      <c r="I3" t="s">
        <v>54</v>
      </c>
      <c r="J3" s="6" t="s">
        <v>146</v>
      </c>
      <c r="K3" s="6" t="s">
        <v>147</v>
      </c>
      <c r="L3" s="6" t="s">
        <v>161</v>
      </c>
      <c r="M3">
        <v>22</v>
      </c>
      <c r="O3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Tamara Babaian</v>
      </c>
      <c r="U3" t="str">
        <f>IF(U2=1,"IT 101",IF(U2=2,"CS 150",IF(U2=3,"CS 180",IF(U2=4,"CS 213",IF(U2=5,"CS 240",IF(U2=6,"CS 299",IF(U2=7,"CS 350",IF(U2=8,"CS 360",IF(U2=9,"CS 460",IF(U2=10,"CS 480",IF(U2=11,"CS 603",IF(U2=12, "CS 605",IF(U2=13,"CS 607",IF(U2=14,"CS 610",IF(U2=15, "CS 620",IF(U2=16,"CS 630", IF(U2=17, "CS 650", IF(U2=18,"CS 680",))))))))))))))))))</f>
        <v>CS 603</v>
      </c>
      <c r="V3" t="str">
        <f>IF(V2=1,"M",IF(V2=2,"MW",IF(V2=3,"MR",IF(V2=4,"T",IF(V2=5,"TR",IF(V2=6,"TF",IF(V2=7,"W",IF(V2=8,"R",))))))))</f>
        <v>R</v>
      </c>
      <c r="W3" t="str">
        <f>IF(W2=1,"08:00AM - 09:20AM",IF(W2=2,"09:30AM - 10:50AM",IF(W2=3,"11:00AM - 01:50PM",IF(W2=4,"12:30PM - 01:50PM",IF(W2=5,"02:00PM - 03:20PM",IF(W2=6,"03:30PM - 04:50PM",IF(W2=7,"05:00PM - 07:20PM",IF(W2=8,"06:30PM - 09:10PM",IF(W2=9,"07:30PM - 09:50PM",)))))))))</f>
        <v>06:30PM - 09:10PM</v>
      </c>
    </row>
    <row r="4" spans="3:26" ht="15.75">
      <c r="C4">
        <v>1</v>
      </c>
      <c r="D4">
        <v>6</v>
      </c>
      <c r="E4" t="s">
        <v>49</v>
      </c>
      <c r="F4" t="s">
        <v>37</v>
      </c>
      <c r="G4">
        <f t="shared" si="0"/>
        <v>2</v>
      </c>
      <c r="H4">
        <f t="shared" si="1"/>
        <v>2</v>
      </c>
      <c r="I4" t="s">
        <v>57</v>
      </c>
      <c r="J4" s="6" t="s">
        <v>168</v>
      </c>
      <c r="K4" s="6" t="s">
        <v>126</v>
      </c>
      <c r="L4" s="6" t="s">
        <v>186</v>
      </c>
      <c r="M4">
        <v>23</v>
      </c>
      <c r="O4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6" ht="15.75">
      <c r="C5">
        <v>1</v>
      </c>
      <c r="D5">
        <v>6</v>
      </c>
      <c r="E5" t="s">
        <v>49</v>
      </c>
      <c r="F5" t="s">
        <v>37</v>
      </c>
      <c r="G5">
        <f t="shared" si="0"/>
        <v>2</v>
      </c>
      <c r="H5">
        <f t="shared" si="1"/>
        <v>2</v>
      </c>
      <c r="I5" t="s">
        <v>51</v>
      </c>
      <c r="J5" s="6" t="s">
        <v>138</v>
      </c>
      <c r="K5" s="6" t="s">
        <v>96</v>
      </c>
      <c r="L5" s="6" t="s">
        <v>142</v>
      </c>
      <c r="M5">
        <v>24</v>
      </c>
      <c r="O5" t="s">
        <v>86</v>
      </c>
      <c r="P5" s="18" t="s">
        <v>219</v>
      </c>
      <c r="Q5" t="s">
        <v>220</v>
      </c>
      <c r="R5" s="6"/>
    </row>
    <row r="6" spans="3:26" ht="15.75">
      <c r="C6">
        <v>1</v>
      </c>
      <c r="D6">
        <v>1</v>
      </c>
      <c r="E6" t="s">
        <v>26</v>
      </c>
      <c r="F6" t="s">
        <v>24</v>
      </c>
      <c r="G6">
        <f t="shared" si="0"/>
        <v>4</v>
      </c>
      <c r="H6">
        <f t="shared" si="1"/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t="s">
        <v>79</v>
      </c>
      <c r="P6" s="18" t="s">
        <v>220</v>
      </c>
      <c r="Q6" t="s">
        <v>221</v>
      </c>
      <c r="R6" s="6"/>
    </row>
    <row r="7" spans="3:26" ht="15.75">
      <c r="C7">
        <v>1</v>
      </c>
      <c r="D7">
        <v>4</v>
      </c>
      <c r="E7" t="s">
        <v>25</v>
      </c>
      <c r="F7" t="s">
        <v>24</v>
      </c>
      <c r="G7">
        <f t="shared" si="0"/>
        <v>4</v>
      </c>
      <c r="H7">
        <f t="shared" si="1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t="s">
        <v>96</v>
      </c>
      <c r="P7" s="18" t="s">
        <v>220</v>
      </c>
      <c r="Q7" t="s">
        <v>221</v>
      </c>
      <c r="R7" s="6"/>
      <c r="Z7" t="s">
        <v>209</v>
      </c>
    </row>
    <row r="8" spans="3:26" ht="15.75">
      <c r="C8">
        <v>1</v>
      </c>
      <c r="D8">
        <v>6</v>
      </c>
      <c r="E8" t="s">
        <v>49</v>
      </c>
      <c r="F8" t="s">
        <v>37</v>
      </c>
      <c r="G8">
        <f t="shared" si="0"/>
        <v>2</v>
      </c>
      <c r="H8">
        <f t="shared" si="1"/>
        <v>2</v>
      </c>
      <c r="I8" t="s">
        <v>64</v>
      </c>
      <c r="J8" s="6" t="s">
        <v>165</v>
      </c>
      <c r="K8" s="6" t="s">
        <v>101</v>
      </c>
      <c r="L8" s="6" t="s">
        <v>155</v>
      </c>
      <c r="M8">
        <v>27</v>
      </c>
      <c r="O8" t="s">
        <v>101</v>
      </c>
      <c r="P8" s="18" t="s">
        <v>220</v>
      </c>
      <c r="Q8" t="s">
        <v>221</v>
      </c>
      <c r="R8" s="6"/>
    </row>
    <row r="9" spans="3:26" ht="15.75">
      <c r="C9">
        <v>1</v>
      </c>
      <c r="D9">
        <v>6</v>
      </c>
      <c r="E9" t="s">
        <v>49</v>
      </c>
      <c r="F9" t="s">
        <v>37</v>
      </c>
      <c r="G9">
        <f t="shared" si="0"/>
        <v>2</v>
      </c>
      <c r="H9">
        <f t="shared" si="1"/>
        <v>2</v>
      </c>
      <c r="I9" t="s">
        <v>61</v>
      </c>
      <c r="J9" s="6" t="s">
        <v>198</v>
      </c>
      <c r="K9" s="6" t="s">
        <v>86</v>
      </c>
      <c r="L9" s="6" t="s">
        <v>15</v>
      </c>
      <c r="M9">
        <v>28</v>
      </c>
      <c r="O9" t="s">
        <v>86</v>
      </c>
      <c r="P9" s="18" t="s">
        <v>220</v>
      </c>
      <c r="Q9" t="s">
        <v>221</v>
      </c>
      <c r="R9" s="6"/>
      <c r="Z9" t="s">
        <v>210</v>
      </c>
    </row>
    <row r="10" spans="3:26" ht="15.75">
      <c r="C10">
        <v>1</v>
      </c>
      <c r="D10">
        <v>6</v>
      </c>
      <c r="E10" t="s">
        <v>49</v>
      </c>
      <c r="F10" t="s">
        <v>37</v>
      </c>
      <c r="G10">
        <f t="shared" si="0"/>
        <v>2</v>
      </c>
      <c r="H10">
        <f t="shared" si="1"/>
        <v>2</v>
      </c>
      <c r="I10" t="s">
        <v>59</v>
      </c>
      <c r="J10" s="6" t="s">
        <v>171</v>
      </c>
      <c r="K10" s="6"/>
      <c r="L10" s="6" t="s">
        <v>190</v>
      </c>
      <c r="M10" s="6"/>
      <c r="N10" s="6"/>
    </row>
    <row r="11" spans="3:26" ht="16.5" thickBot="1">
      <c r="C11">
        <v>1</v>
      </c>
      <c r="D11">
        <v>2</v>
      </c>
      <c r="E11" t="s">
        <v>28</v>
      </c>
      <c r="F11" t="s">
        <v>24</v>
      </c>
      <c r="G11">
        <f t="shared" si="0"/>
        <v>4</v>
      </c>
      <c r="H11">
        <f t="shared" si="1"/>
        <v>4</v>
      </c>
      <c r="I11" t="s">
        <v>47</v>
      </c>
      <c r="J11" s="6" t="s">
        <v>182</v>
      </c>
      <c r="L11" s="6" t="s">
        <v>16</v>
      </c>
      <c r="M11" s="6"/>
      <c r="N11" s="6"/>
      <c r="Z11" t="s">
        <v>211</v>
      </c>
    </row>
    <row r="12" spans="3:26" ht="15.75">
      <c r="C12">
        <v>1</v>
      </c>
      <c r="D12">
        <v>6</v>
      </c>
      <c r="E12" t="s">
        <v>49</v>
      </c>
      <c r="F12" t="s">
        <v>37</v>
      </c>
      <c r="G12">
        <f t="shared" si="0"/>
        <v>2</v>
      </c>
      <c r="H12">
        <f t="shared" si="1"/>
        <v>2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</row>
    <row r="13" spans="3:26" ht="15.75">
      <c r="C13">
        <v>1</v>
      </c>
      <c r="D13">
        <v>5</v>
      </c>
      <c r="E13" t="s">
        <v>34</v>
      </c>
      <c r="F13" t="s">
        <v>24</v>
      </c>
      <c r="G13">
        <f t="shared" si="0"/>
        <v>4</v>
      </c>
      <c r="H13">
        <f t="shared" si="1"/>
        <v>4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Z13" t="s">
        <v>212</v>
      </c>
    </row>
    <row r="14" spans="3:26" ht="30">
      <c r="C14">
        <v>1</v>
      </c>
      <c r="D14">
        <v>6</v>
      </c>
      <c r="E14" t="s">
        <v>49</v>
      </c>
      <c r="F14" t="s">
        <v>37</v>
      </c>
      <c r="G14">
        <f t="shared" si="0"/>
        <v>2</v>
      </c>
      <c r="H14">
        <f t="shared" si="1"/>
        <v>2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</row>
    <row r="15" spans="3:26" ht="30.75" thickBot="1">
      <c r="C15">
        <v>1</v>
      </c>
      <c r="D15">
        <v>1</v>
      </c>
      <c r="E15" t="s">
        <v>26</v>
      </c>
      <c r="F15" t="s">
        <v>24</v>
      </c>
      <c r="G15">
        <f t="shared" si="0"/>
        <v>4</v>
      </c>
      <c r="H15">
        <f t="shared" si="1"/>
        <v>4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</row>
    <row r="16" spans="3:26" ht="15.75">
      <c r="C16">
        <v>1</v>
      </c>
      <c r="D16">
        <v>4</v>
      </c>
      <c r="E16" t="s">
        <v>25</v>
      </c>
      <c r="F16" t="s">
        <v>24</v>
      </c>
      <c r="G16">
        <f t="shared" si="0"/>
        <v>4</v>
      </c>
      <c r="H16">
        <f t="shared" si="1"/>
        <v>4</v>
      </c>
      <c r="I16" t="s">
        <v>41</v>
      </c>
      <c r="J16" s="6" t="s">
        <v>83</v>
      </c>
      <c r="K16" s="21">
        <v>8</v>
      </c>
      <c r="Q16" s="6"/>
      <c r="R16" s="6"/>
      <c r="T16" s="6"/>
    </row>
    <row r="17" spans="3:25" ht="15.75">
      <c r="C17">
        <v>1</v>
      </c>
      <c r="D17">
        <v>2</v>
      </c>
      <c r="E17" t="s">
        <v>28</v>
      </c>
      <c r="F17" t="s">
        <v>24</v>
      </c>
      <c r="G17">
        <f t="shared" si="0"/>
        <v>4</v>
      </c>
      <c r="H17">
        <f t="shared" si="1"/>
        <v>4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25" ht="30">
      <c r="C18">
        <v>1</v>
      </c>
      <c r="D18">
        <v>2</v>
      </c>
      <c r="E18" t="s">
        <v>28</v>
      </c>
      <c r="F18" t="s">
        <v>24</v>
      </c>
      <c r="G18">
        <f t="shared" si="0"/>
        <v>4</v>
      </c>
      <c r="H18">
        <f t="shared" si="1"/>
        <v>4</v>
      </c>
      <c r="I18" t="s">
        <v>46</v>
      </c>
      <c r="J18" s="6" t="s">
        <v>109</v>
      </c>
      <c r="K18" s="21"/>
      <c r="Q18" s="6"/>
      <c r="R18" s="19" t="s">
        <v>228</v>
      </c>
      <c r="S18" s="20" t="e">
        <f>_xlfn.CONCAT(INDEX($P$22:$Y$65,MATCH($S$14,$Y$22:$Y$65,0),1)," ",INDEX($P$22:$Y$65,MATCH($S$14,$Y$22:$Y$65,0),2))</f>
        <v>#N/A</v>
      </c>
      <c r="T18" s="20" t="e">
        <f>_xlfn.CONCAT(INDEX($P$22:$Y$65,MATCH($T$14,$Y$22:$Y$65,0),1)," ",INDEX($P$22:$Y$65,MATCH($T$14,$Y$22:$Y$65,0),2))</f>
        <v>#N/A</v>
      </c>
      <c r="U18" s="20" t="e">
        <f>_xlfn.CONCAT(INDEX($P$22:$Y$65,MATCH($U$14,$Y$22:$Y$65,0),1)," ",INDEX($P$22:$Y$65,MATCH($U$14,$Y$22:$Y$65,0),2))</f>
        <v>#N/A</v>
      </c>
      <c r="V18" s="20" t="e">
        <f>_xlfn.CONCAT(INDEX($P$22:$Y$65,MATCH($V$14,$Y$22:$Y$65,0),1)," ",INDEX($P$22:$Y$65,MATCH($V$14,$Y$22:$Y$65,0),2))</f>
        <v>#N/A</v>
      </c>
      <c r="W18" s="20" t="s">
        <v>227</v>
      </c>
    </row>
    <row r="19" spans="3:25" ht="30">
      <c r="C19">
        <v>1</v>
      </c>
      <c r="D19">
        <v>6</v>
      </c>
      <c r="E19" t="s">
        <v>49</v>
      </c>
      <c r="F19" t="s">
        <v>37</v>
      </c>
      <c r="G19">
        <f t="shared" si="0"/>
        <v>2</v>
      </c>
      <c r="H19">
        <f t="shared" si="1"/>
        <v>2</v>
      </c>
      <c r="I19" t="s">
        <v>53</v>
      </c>
      <c r="J19" s="6" t="s">
        <v>104</v>
      </c>
      <c r="K19" s="21"/>
      <c r="Q19" s="6"/>
      <c r="R19" s="19" t="s">
        <v>229</v>
      </c>
      <c r="S19" s="20" t="e">
        <f>_xlfn.CONCAT(INDEX($P$22:$Y$65,MATCH($S$15,$Y$22:$Y$65,0),1)," ",INDEX($P$22:$Y$65,MATCH($S$15,$Y$22:$Y$65,0),2))</f>
        <v>#N/A</v>
      </c>
      <c r="T19" s="20" t="e">
        <f>_xlfn.CONCAT(INDEX($P$22:$Y$65,MATCH($T$15,$Y$22:$Y$65,0),1)," ",INDEX($P$22:$Y$65,MATCH($T$15,$Y$22:$Y$65,0),2))</f>
        <v>#N/A</v>
      </c>
      <c r="U19" s="20" t="e">
        <f>_xlfn.CONCAT(INDEX($P$22:$Y$65,MATCH($U$15,$Y$22:$Y$65,0),1)," ",INDEX($P$22:$Y$65,MATCH($U$15,$Y$22:$Y$65,0),2))</f>
        <v>#N/A</v>
      </c>
      <c r="V19" s="20" t="e">
        <f>_xlfn.CONCAT(INDEX($P$22:$Y$65,MATCH($V$15,$Y$22:$Y$65,0),1)," ",INDEX($P$22:$Y$65,MATCH($V$15,$Y$22:$Y$65,0),2))</f>
        <v>#N/A</v>
      </c>
      <c r="W19" s="20" t="s">
        <v>227</v>
      </c>
    </row>
    <row r="20" spans="3:25" ht="16.5" thickBot="1">
      <c r="C20">
        <v>1</v>
      </c>
      <c r="D20">
        <v>6</v>
      </c>
      <c r="E20" t="s">
        <v>49</v>
      </c>
      <c r="F20" t="s">
        <v>37</v>
      </c>
      <c r="G20">
        <f t="shared" si="0"/>
        <v>2</v>
      </c>
      <c r="H20">
        <f t="shared" si="1"/>
        <v>2</v>
      </c>
      <c r="I20" t="s">
        <v>56</v>
      </c>
      <c r="K20" s="6"/>
      <c r="L20" s="6"/>
      <c r="M20" s="6"/>
      <c r="N20" s="6"/>
    </row>
    <row r="21" spans="3:25" ht="15.75">
      <c r="C21">
        <v>1</v>
      </c>
      <c r="D21">
        <v>1</v>
      </c>
      <c r="E21" t="s">
        <v>26</v>
      </c>
      <c r="F21" t="s">
        <v>24</v>
      </c>
      <c r="G21">
        <f t="shared" si="0"/>
        <v>4</v>
      </c>
      <c r="H21">
        <f t="shared" si="1"/>
        <v>4</v>
      </c>
      <c r="I21" t="s">
        <v>45</v>
      </c>
      <c r="K21" s="6"/>
      <c r="L21" s="6"/>
      <c r="N21" s="6"/>
      <c r="O21" s="6" t="s">
        <v>236</v>
      </c>
      <c r="P21" s="34" t="s">
        <v>26</v>
      </c>
      <c r="Q21" s="23" t="s">
        <v>66</v>
      </c>
      <c r="R21" s="23" t="s">
        <v>203</v>
      </c>
      <c r="S21" s="23" t="s">
        <v>204</v>
      </c>
      <c r="T21" s="23"/>
      <c r="U21" s="23" t="s">
        <v>206</v>
      </c>
      <c r="V21" s="23" t="s">
        <v>230</v>
      </c>
      <c r="W21" s="23" t="s">
        <v>208</v>
      </c>
      <c r="X21" s="23" t="s">
        <v>231</v>
      </c>
      <c r="Y21" s="24" t="s">
        <v>233</v>
      </c>
    </row>
    <row r="22" spans="3:25" ht="15.75">
      <c r="C22">
        <v>1</v>
      </c>
      <c r="D22">
        <v>4</v>
      </c>
      <c r="E22" t="s">
        <v>25</v>
      </c>
      <c r="F22" t="s">
        <v>24</v>
      </c>
      <c r="G22">
        <f t="shared" si="0"/>
        <v>4</v>
      </c>
      <c r="H22">
        <f t="shared" si="1"/>
        <v>4</v>
      </c>
      <c r="I22" t="s">
        <v>32</v>
      </c>
      <c r="K22" s="6"/>
      <c r="L22" s="6"/>
      <c r="N22" s="6"/>
      <c r="O22" s="6"/>
      <c r="P22" s="25"/>
      <c r="Q22" s="26"/>
      <c r="R22" s="26"/>
      <c r="S22" s="26"/>
      <c r="T22" s="26"/>
      <c r="U22" s="26"/>
      <c r="V22" s="26"/>
      <c r="W22" s="26"/>
      <c r="X22" s="26"/>
      <c r="Y22" s="27"/>
    </row>
    <row r="23" spans="3:25" ht="15.75">
      <c r="C23">
        <v>1</v>
      </c>
      <c r="D23">
        <v>6</v>
      </c>
      <c r="E23" t="s">
        <v>49</v>
      </c>
      <c r="F23" t="s">
        <v>37</v>
      </c>
      <c r="G23">
        <f t="shared" si="0"/>
        <v>2</v>
      </c>
      <c r="H23">
        <f t="shared" si="1"/>
        <v>2</v>
      </c>
      <c r="I23" t="s">
        <v>55</v>
      </c>
      <c r="K23" s="6"/>
      <c r="L23" s="6"/>
      <c r="N23" s="6"/>
      <c r="O23" s="6"/>
      <c r="P23" s="25"/>
      <c r="Q23" s="26"/>
      <c r="R23" s="26"/>
      <c r="S23" s="26"/>
      <c r="T23" s="26"/>
      <c r="U23" s="26"/>
      <c r="V23" s="26"/>
      <c r="W23" s="26"/>
      <c r="X23" s="26"/>
      <c r="Y23" s="27"/>
    </row>
    <row r="24" spans="3:25" ht="15.75">
      <c r="C24">
        <v>1</v>
      </c>
      <c r="D24">
        <v>6</v>
      </c>
      <c r="E24" t="s">
        <v>49</v>
      </c>
      <c r="F24" t="s">
        <v>37</v>
      </c>
      <c r="G24">
        <f t="shared" si="0"/>
        <v>2</v>
      </c>
      <c r="H24">
        <f t="shared" si="1"/>
        <v>2</v>
      </c>
      <c r="I24" t="s">
        <v>50</v>
      </c>
      <c r="K24" s="6"/>
      <c r="L24" s="6"/>
      <c r="M24" s="6"/>
      <c r="N24" s="6"/>
      <c r="P24" s="25"/>
      <c r="Q24" s="26"/>
      <c r="R24" s="26"/>
      <c r="S24" s="26"/>
      <c r="T24" s="26"/>
      <c r="U24" s="26"/>
      <c r="V24" s="26"/>
      <c r="W24" s="26"/>
      <c r="X24" s="26"/>
      <c r="Y24" s="27"/>
    </row>
    <row r="25" spans="3:25" ht="15.75">
      <c r="C25">
        <v>1</v>
      </c>
      <c r="D25">
        <v>6</v>
      </c>
      <c r="E25" t="s">
        <v>49</v>
      </c>
      <c r="F25" t="s">
        <v>37</v>
      </c>
      <c r="G25">
        <f t="shared" si="0"/>
        <v>2</v>
      </c>
      <c r="H25">
        <f t="shared" si="1"/>
        <v>2</v>
      </c>
      <c r="I25" t="s">
        <v>52</v>
      </c>
      <c r="K25" s="6"/>
      <c r="L25" s="6"/>
      <c r="M25" s="6"/>
      <c r="N25" s="6"/>
      <c r="P25" s="25"/>
      <c r="Q25" s="26"/>
      <c r="R25" s="26"/>
      <c r="S25" s="26"/>
      <c r="T25" s="26"/>
      <c r="U25" s="26"/>
      <c r="V25" s="26"/>
      <c r="W25" s="26"/>
      <c r="X25" s="26"/>
      <c r="Y25" s="27"/>
    </row>
    <row r="26" spans="3:25" ht="15.75">
      <c r="C26">
        <v>1</v>
      </c>
      <c r="D26">
        <v>2</v>
      </c>
      <c r="E26" t="s">
        <v>28</v>
      </c>
      <c r="F26" t="s">
        <v>24</v>
      </c>
      <c r="G26">
        <f t="shared" si="0"/>
        <v>4</v>
      </c>
      <c r="H26">
        <f t="shared" si="1"/>
        <v>4</v>
      </c>
      <c r="I26" t="s">
        <v>33</v>
      </c>
      <c r="K26" s="6"/>
      <c r="L26" s="6"/>
      <c r="M26" s="6"/>
      <c r="N26" s="6"/>
      <c r="P26" s="25"/>
      <c r="Q26" s="26"/>
      <c r="R26" s="26"/>
      <c r="S26" s="26"/>
      <c r="T26" s="26"/>
      <c r="U26" s="26"/>
      <c r="V26" s="26"/>
      <c r="W26" s="26"/>
      <c r="X26" s="26"/>
      <c r="Y26" s="27"/>
    </row>
    <row r="27" spans="3:25" ht="15.75">
      <c r="C27">
        <v>1</v>
      </c>
      <c r="D27">
        <v>6</v>
      </c>
      <c r="E27" t="s">
        <v>49</v>
      </c>
      <c r="F27" t="s">
        <v>37</v>
      </c>
      <c r="G27">
        <f t="shared" si="0"/>
        <v>2</v>
      </c>
      <c r="H27">
        <f t="shared" si="1"/>
        <v>2</v>
      </c>
      <c r="I27" t="s">
        <v>62</v>
      </c>
      <c r="K27" s="6"/>
      <c r="L27" s="6"/>
      <c r="M27" s="6"/>
      <c r="N27" s="6"/>
      <c r="P27" s="25"/>
      <c r="Q27" s="26"/>
      <c r="R27" s="26"/>
      <c r="S27" s="26"/>
      <c r="T27" s="26"/>
      <c r="U27" s="26"/>
      <c r="V27" s="26"/>
      <c r="W27" s="26"/>
      <c r="X27" s="26"/>
      <c r="Y27" s="27"/>
    </row>
    <row r="28" spans="3:25" ht="15.75">
      <c r="C28">
        <v>1</v>
      </c>
      <c r="D28">
        <v>6</v>
      </c>
      <c r="E28" t="s">
        <v>49</v>
      </c>
      <c r="F28" t="s">
        <v>37</v>
      </c>
      <c r="G28">
        <f t="shared" si="0"/>
        <v>2</v>
      </c>
      <c r="H28">
        <f t="shared" si="1"/>
        <v>2</v>
      </c>
      <c r="I28" t="s">
        <v>63</v>
      </c>
      <c r="K28" s="6"/>
      <c r="L28" s="6"/>
      <c r="M28" s="6"/>
      <c r="N28" s="6"/>
      <c r="P28" s="25"/>
      <c r="Q28" s="26"/>
      <c r="R28" s="26"/>
      <c r="S28" s="26"/>
      <c r="T28" s="26"/>
      <c r="U28" s="26"/>
      <c r="V28" s="26"/>
      <c r="W28" s="26"/>
      <c r="X28" s="26"/>
      <c r="Y28" s="27"/>
    </row>
    <row r="29" spans="3:25" ht="15.75">
      <c r="C29">
        <v>1</v>
      </c>
      <c r="D29">
        <v>2</v>
      </c>
      <c r="E29" t="s">
        <v>28</v>
      </c>
      <c r="F29" t="s">
        <v>24</v>
      </c>
      <c r="G29">
        <f t="shared" si="0"/>
        <v>4</v>
      </c>
      <c r="H29">
        <f t="shared" si="1"/>
        <v>4</v>
      </c>
      <c r="I29" t="s">
        <v>27</v>
      </c>
      <c r="K29" s="6"/>
      <c r="L29" s="6"/>
      <c r="M29" s="6"/>
      <c r="N29" s="6"/>
      <c r="P29" s="25"/>
      <c r="Q29" s="26"/>
      <c r="R29" s="26"/>
      <c r="S29" s="26"/>
      <c r="T29" s="26"/>
      <c r="U29" s="26"/>
      <c r="V29" s="26"/>
      <c r="W29" s="26"/>
      <c r="X29" s="26"/>
      <c r="Y29" s="27"/>
    </row>
    <row r="30" spans="3:25" ht="15.75">
      <c r="C30">
        <v>1</v>
      </c>
      <c r="D30">
        <v>6</v>
      </c>
      <c r="E30" t="s">
        <v>49</v>
      </c>
      <c r="F30" t="s">
        <v>37</v>
      </c>
      <c r="G30">
        <f t="shared" si="0"/>
        <v>2</v>
      </c>
      <c r="H30">
        <f t="shared" si="1"/>
        <v>2</v>
      </c>
      <c r="I30" t="s">
        <v>58</v>
      </c>
      <c r="K30" s="6"/>
      <c r="L30" s="6"/>
      <c r="M30" s="6"/>
      <c r="N30" s="6"/>
      <c r="P30" s="25"/>
      <c r="Q30" s="26"/>
      <c r="R30" s="26"/>
      <c r="S30" s="26"/>
      <c r="T30" s="26"/>
      <c r="U30" s="26"/>
      <c r="V30" s="26"/>
      <c r="W30" s="26"/>
      <c r="X30" s="26"/>
      <c r="Y30" s="27"/>
    </row>
    <row r="31" spans="3:25" ht="15.75">
      <c r="C31">
        <v>1</v>
      </c>
      <c r="D31">
        <v>3</v>
      </c>
      <c r="E31" t="s">
        <v>36</v>
      </c>
      <c r="F31" t="s">
        <v>24</v>
      </c>
      <c r="G31">
        <f t="shared" si="0"/>
        <v>4</v>
      </c>
      <c r="H31">
        <f t="shared" si="1"/>
        <v>4</v>
      </c>
      <c r="I31" t="s">
        <v>35</v>
      </c>
      <c r="K31" s="6"/>
      <c r="L31" s="6"/>
      <c r="M31" s="6"/>
      <c r="N31" s="6"/>
      <c r="P31" s="25"/>
      <c r="Q31" s="26"/>
      <c r="R31" s="26"/>
      <c r="S31" s="26"/>
      <c r="T31" s="26"/>
      <c r="U31" s="26"/>
      <c r="V31" s="26"/>
      <c r="W31" s="26"/>
      <c r="X31" s="26"/>
      <c r="Y31" s="27"/>
    </row>
    <row r="32" spans="3:25" ht="15.75">
      <c r="C32">
        <v>1</v>
      </c>
      <c r="D32">
        <v>1</v>
      </c>
      <c r="E32" t="s">
        <v>26</v>
      </c>
      <c r="F32" t="s">
        <v>24</v>
      </c>
      <c r="G32">
        <f t="shared" si="0"/>
        <v>4</v>
      </c>
      <c r="H32">
        <f t="shared" si="1"/>
        <v>4</v>
      </c>
      <c r="I32" t="s">
        <v>38</v>
      </c>
      <c r="K32" s="6"/>
      <c r="L32" s="6"/>
      <c r="M32" s="6"/>
      <c r="N32" s="6"/>
      <c r="P32" s="25"/>
      <c r="Q32" s="26"/>
      <c r="R32" s="26"/>
      <c r="S32" s="26"/>
      <c r="T32" s="26"/>
      <c r="U32" s="26"/>
      <c r="V32" s="26"/>
      <c r="W32" s="26"/>
      <c r="X32" s="26"/>
      <c r="Y32" s="27"/>
    </row>
    <row r="33" spans="3:25" ht="15.75">
      <c r="C33">
        <v>1</v>
      </c>
      <c r="D33">
        <v>3</v>
      </c>
      <c r="E33" t="s">
        <v>36</v>
      </c>
      <c r="F33" t="s">
        <v>24</v>
      </c>
      <c r="G33">
        <f t="shared" si="0"/>
        <v>4</v>
      </c>
      <c r="H33">
        <f t="shared" si="1"/>
        <v>4</v>
      </c>
      <c r="I33" t="s">
        <v>40</v>
      </c>
      <c r="K33" s="6"/>
      <c r="L33" s="6"/>
      <c r="M33" s="6"/>
      <c r="N33" s="6"/>
      <c r="P33" s="25"/>
      <c r="Q33" s="26"/>
      <c r="R33" s="26"/>
      <c r="S33" s="26"/>
      <c r="T33" s="26"/>
      <c r="U33" s="26"/>
      <c r="V33" s="26"/>
      <c r="W33" s="26"/>
      <c r="X33" s="26"/>
      <c r="Y33" s="27"/>
    </row>
    <row r="34" spans="3:25" ht="15.75">
      <c r="G34" s="6"/>
      <c r="H34" s="6"/>
      <c r="P34" s="25"/>
      <c r="Q34" s="26"/>
      <c r="R34" s="26"/>
      <c r="S34" s="26"/>
      <c r="T34" s="26"/>
      <c r="U34" s="26"/>
      <c r="V34" s="26"/>
      <c r="W34" s="26"/>
      <c r="X34" s="26"/>
      <c r="Y34" s="27"/>
    </row>
    <row r="35" spans="3:25" ht="15.75">
      <c r="G35" s="6"/>
      <c r="H35" s="6"/>
      <c r="P35" s="25"/>
      <c r="Q35" s="26"/>
      <c r="R35" s="26"/>
      <c r="S35" s="26"/>
      <c r="T35" s="26"/>
      <c r="U35" s="26"/>
      <c r="V35" s="26"/>
      <c r="W35" s="26"/>
      <c r="X35" s="26"/>
      <c r="Y35" s="27"/>
    </row>
    <row r="36" spans="3:25" ht="15.75">
      <c r="G36" s="6"/>
      <c r="H36" s="6"/>
      <c r="P36" s="25"/>
      <c r="Q36" s="26"/>
      <c r="R36" s="26"/>
      <c r="S36" s="26"/>
      <c r="T36" s="26"/>
      <c r="U36" s="26"/>
      <c r="V36" s="26"/>
      <c r="W36" s="26"/>
      <c r="X36" s="26"/>
      <c r="Y36" s="27"/>
    </row>
    <row r="37" spans="3:25" ht="15.75">
      <c r="G37" s="6"/>
      <c r="H37" s="6"/>
      <c r="P37" s="25"/>
      <c r="Q37" s="26"/>
      <c r="R37" s="26"/>
      <c r="S37" s="26"/>
      <c r="T37" s="26"/>
      <c r="U37" s="26"/>
      <c r="V37" s="26"/>
      <c r="W37" s="26"/>
      <c r="X37" s="26"/>
      <c r="Y37" s="27"/>
    </row>
    <row r="38" spans="3:25" ht="15.75">
      <c r="G38" s="6"/>
      <c r="H38" s="6"/>
      <c r="P38" s="25"/>
      <c r="Q38" s="26"/>
      <c r="R38" s="26"/>
      <c r="S38" s="26"/>
      <c r="T38" s="26"/>
      <c r="U38" s="26"/>
      <c r="V38" s="26"/>
      <c r="W38" s="26"/>
      <c r="X38" s="26"/>
      <c r="Y38" s="27"/>
    </row>
    <row r="39" spans="3:25" ht="15.75">
      <c r="G39" s="6"/>
      <c r="H39" s="6"/>
      <c r="P39" s="25"/>
      <c r="Q39" s="26"/>
      <c r="R39" s="26"/>
      <c r="S39" s="26"/>
      <c r="T39" s="26"/>
      <c r="U39" s="26"/>
      <c r="V39" s="26"/>
      <c r="W39" s="26"/>
      <c r="X39" s="26"/>
      <c r="Y39" s="27"/>
    </row>
    <row r="40" spans="3:25" ht="15.75">
      <c r="G40" s="6"/>
      <c r="H40" s="6"/>
      <c r="P40" s="25"/>
      <c r="Q40" s="26"/>
      <c r="R40" s="26"/>
      <c r="S40" s="26"/>
      <c r="T40" s="26"/>
      <c r="U40" s="26"/>
      <c r="V40" s="26"/>
      <c r="W40" s="26"/>
      <c r="X40" s="26"/>
      <c r="Y40" s="27"/>
    </row>
    <row r="41" spans="3:25" ht="15.75">
      <c r="G41" s="6"/>
      <c r="H41" s="6"/>
      <c r="P41" s="25"/>
      <c r="Q41" s="26"/>
      <c r="R41" s="26"/>
      <c r="S41" s="26"/>
      <c r="T41" s="26"/>
      <c r="U41" s="26"/>
      <c r="V41" s="26"/>
      <c r="W41" s="26"/>
      <c r="X41" s="26"/>
      <c r="Y41" s="27"/>
    </row>
    <row r="42" spans="3:25" ht="15.75">
      <c r="G42" s="6"/>
      <c r="H42" s="6"/>
      <c r="P42" s="25"/>
      <c r="Q42" s="26"/>
      <c r="R42" s="26"/>
      <c r="S42" s="26"/>
      <c r="T42" s="26"/>
      <c r="U42" s="26"/>
      <c r="V42" s="26"/>
      <c r="W42" s="26"/>
      <c r="X42" s="26"/>
      <c r="Y42" s="27"/>
    </row>
    <row r="43" spans="3:25" ht="15.75">
      <c r="G43" s="6"/>
      <c r="H43" s="6"/>
      <c r="P43" s="25"/>
      <c r="Q43" s="26"/>
      <c r="R43" s="26"/>
      <c r="S43" s="26"/>
      <c r="T43" s="26"/>
      <c r="U43" s="26"/>
      <c r="V43" s="26"/>
      <c r="W43" s="26"/>
      <c r="X43" s="26"/>
      <c r="Y43" s="27"/>
    </row>
    <row r="44" spans="3:25" ht="15.75">
      <c r="G44" s="6"/>
      <c r="H44" s="6"/>
      <c r="P44" s="25"/>
      <c r="Q44" s="26"/>
      <c r="R44" s="26"/>
      <c r="S44" s="26"/>
      <c r="T44" s="26"/>
      <c r="U44" s="26"/>
      <c r="V44" s="26"/>
      <c r="W44" s="26"/>
      <c r="X44" s="26"/>
      <c r="Y44" s="27"/>
    </row>
    <row r="45" spans="3:25" ht="15.75">
      <c r="G45" s="6"/>
      <c r="H45" s="6"/>
      <c r="P45" s="25"/>
      <c r="Q45" s="26"/>
      <c r="R45" s="26"/>
      <c r="S45" s="26"/>
      <c r="T45" s="26"/>
      <c r="U45" s="26"/>
      <c r="V45" s="26"/>
      <c r="W45" s="26"/>
      <c r="X45" s="26"/>
      <c r="Y45" s="27"/>
    </row>
    <row r="46" spans="3:25" ht="15.75">
      <c r="G46" s="6"/>
      <c r="H46" s="6"/>
      <c r="P46" s="25"/>
      <c r="Q46" s="26"/>
      <c r="R46" s="26"/>
      <c r="S46" s="26"/>
      <c r="T46" s="26"/>
      <c r="U46" s="26"/>
      <c r="V46" s="26"/>
      <c r="W46" s="26"/>
      <c r="X46" s="26"/>
      <c r="Y46" s="27"/>
    </row>
    <row r="47" spans="3:25" ht="15.75">
      <c r="G47" s="6"/>
      <c r="H47" s="6"/>
      <c r="P47" s="25"/>
      <c r="Q47" s="26"/>
      <c r="R47" s="26"/>
      <c r="S47" s="26"/>
      <c r="T47" s="26"/>
      <c r="U47" s="26"/>
      <c r="V47" s="26"/>
      <c r="W47" s="26"/>
      <c r="X47" s="26"/>
      <c r="Y47" s="27"/>
    </row>
    <row r="48" spans="3:25" ht="15.75">
      <c r="G48" s="6"/>
      <c r="H48" s="6"/>
      <c r="P48" s="25"/>
      <c r="Q48" s="26"/>
      <c r="R48" s="26"/>
      <c r="S48" s="26"/>
      <c r="T48" s="26"/>
      <c r="U48" s="26"/>
      <c r="V48" s="26"/>
      <c r="W48" s="26"/>
      <c r="X48" s="26"/>
      <c r="Y48" s="27"/>
    </row>
    <row r="49" spans="7:25" ht="15.75">
      <c r="G49" s="6"/>
      <c r="H49" s="6"/>
      <c r="P49" s="25"/>
      <c r="Q49" s="26"/>
      <c r="R49" s="26"/>
      <c r="S49" s="26"/>
      <c r="T49" s="26"/>
      <c r="U49" s="26"/>
      <c r="V49" s="26"/>
      <c r="W49" s="26"/>
      <c r="X49" s="26"/>
      <c r="Y49" s="27"/>
    </row>
    <row r="50" spans="7:25" ht="15.75">
      <c r="G50" s="6"/>
      <c r="H50" s="6"/>
      <c r="P50" s="25"/>
      <c r="Q50" s="26"/>
      <c r="R50" s="26"/>
      <c r="S50" s="26"/>
      <c r="T50" s="26"/>
      <c r="U50" s="26"/>
      <c r="V50" s="26"/>
      <c r="W50" s="26"/>
      <c r="X50" s="26"/>
      <c r="Y50" s="27"/>
    </row>
    <row r="51" spans="7:25" ht="15.75">
      <c r="G51" s="6"/>
      <c r="H51" s="6"/>
      <c r="P51" s="25"/>
      <c r="Q51" s="26"/>
      <c r="R51" s="26"/>
      <c r="S51" s="26"/>
      <c r="T51" s="26"/>
      <c r="U51" s="26"/>
      <c r="V51" s="26"/>
      <c r="W51" s="26"/>
      <c r="X51" s="26"/>
      <c r="Y51" s="27"/>
    </row>
    <row r="52" spans="7:25" ht="15.75">
      <c r="G52" s="6"/>
      <c r="H52" s="6"/>
      <c r="P52" s="25"/>
      <c r="Q52" s="26"/>
      <c r="R52" s="26"/>
      <c r="S52" s="26"/>
      <c r="T52" s="26"/>
      <c r="U52" s="26"/>
      <c r="V52" s="26"/>
      <c r="W52" s="26"/>
      <c r="X52" s="26"/>
      <c r="Y52" s="27"/>
    </row>
    <row r="53" spans="7:25" ht="15.75">
      <c r="G53" s="6"/>
      <c r="H53" s="6"/>
      <c r="P53" s="25"/>
      <c r="Q53" s="26"/>
      <c r="R53" s="26"/>
      <c r="S53" s="26"/>
      <c r="T53" s="26"/>
      <c r="U53" s="26"/>
      <c r="V53" s="26"/>
      <c r="W53" s="26"/>
      <c r="X53" s="26"/>
      <c r="Y53" s="27"/>
    </row>
    <row r="54" spans="7:25" ht="15.75">
      <c r="G54" s="6"/>
      <c r="H54" s="6"/>
      <c r="P54" s="25"/>
      <c r="Q54" s="26"/>
      <c r="R54" s="26"/>
      <c r="S54" s="26"/>
      <c r="T54" s="26"/>
      <c r="U54" s="26"/>
      <c r="V54" s="26"/>
      <c r="W54" s="26"/>
      <c r="X54" s="26"/>
      <c r="Y54" s="27"/>
    </row>
    <row r="55" spans="7:25">
      <c r="P55" s="25"/>
      <c r="Q55" s="26"/>
      <c r="R55" s="26"/>
      <c r="S55" s="26"/>
      <c r="T55" s="26"/>
      <c r="U55" s="26"/>
      <c r="V55" s="26"/>
      <c r="W55" s="26"/>
      <c r="X55" s="26"/>
      <c r="Y55" s="27"/>
    </row>
    <row r="56" spans="7:25">
      <c r="P56" s="25"/>
      <c r="Q56" s="26"/>
      <c r="R56" s="26"/>
      <c r="S56" s="26"/>
      <c r="T56" s="26"/>
      <c r="U56" s="26"/>
      <c r="V56" s="26"/>
      <c r="W56" s="26"/>
      <c r="X56" s="26"/>
      <c r="Y56" s="27"/>
    </row>
    <row r="57" spans="7:25">
      <c r="P57" s="25"/>
      <c r="Q57" s="26"/>
      <c r="R57" s="26"/>
      <c r="S57" s="26"/>
      <c r="T57" s="26"/>
      <c r="U57" s="26"/>
      <c r="V57" s="26"/>
      <c r="W57" s="26"/>
      <c r="X57" s="26"/>
      <c r="Y57" s="27"/>
    </row>
    <row r="58" spans="7:25">
      <c r="P58" s="25"/>
      <c r="Q58" s="26"/>
      <c r="R58" s="26"/>
      <c r="S58" s="26"/>
      <c r="T58" s="26"/>
      <c r="U58" s="26"/>
      <c r="V58" s="26"/>
      <c r="W58" s="26"/>
      <c r="X58" s="26"/>
      <c r="Y58" s="27"/>
    </row>
    <row r="59" spans="7:25">
      <c r="P59" s="25"/>
      <c r="Q59" s="26"/>
      <c r="R59" s="26"/>
      <c r="S59" s="26"/>
      <c r="T59" s="26"/>
      <c r="U59" s="26"/>
      <c r="V59" s="26"/>
      <c r="W59" s="26"/>
      <c r="X59" s="26"/>
      <c r="Y59" s="27"/>
    </row>
    <row r="60" spans="7:25">
      <c r="P60" s="25"/>
      <c r="Q60" s="26"/>
      <c r="R60" s="26"/>
      <c r="S60" s="26"/>
      <c r="T60" s="26"/>
      <c r="U60" s="26"/>
      <c r="V60" s="26"/>
      <c r="W60" s="26"/>
      <c r="X60" s="26"/>
      <c r="Y60" s="27"/>
    </row>
    <row r="61" spans="7:25">
      <c r="P61" s="25"/>
      <c r="Q61" s="26"/>
      <c r="R61" s="26"/>
      <c r="S61" s="26"/>
      <c r="T61" s="26"/>
      <c r="U61" s="26"/>
      <c r="V61" s="26"/>
      <c r="W61" s="26"/>
      <c r="X61" s="26"/>
      <c r="Y61" s="27"/>
    </row>
    <row r="62" spans="7:25">
      <c r="P62" s="25"/>
      <c r="Q62" s="26"/>
      <c r="R62" s="26"/>
      <c r="S62" s="26"/>
      <c r="T62" s="26"/>
      <c r="U62" s="26"/>
      <c r="V62" s="26"/>
      <c r="W62" s="26"/>
      <c r="X62" s="26"/>
      <c r="Y62" s="27"/>
    </row>
    <row r="63" spans="7:25">
      <c r="P63" s="25"/>
      <c r="Q63" s="26"/>
      <c r="R63" s="26"/>
      <c r="S63" s="26"/>
      <c r="T63" s="26"/>
      <c r="U63" s="26"/>
      <c r="V63" s="26"/>
      <c r="W63" s="26"/>
      <c r="X63" s="26"/>
      <c r="Y63" s="27"/>
    </row>
    <row r="64" spans="7:25">
      <c r="P64" s="25"/>
      <c r="Q64" s="26"/>
      <c r="R64" s="26"/>
      <c r="S64" s="26"/>
      <c r="T64" s="26"/>
      <c r="U64" s="26"/>
      <c r="V64" s="26"/>
      <c r="W64" s="26"/>
      <c r="X64" s="26"/>
      <c r="Y64" s="27"/>
    </row>
    <row r="65" spans="16:25" ht="15.75" thickBot="1">
      <c r="P65" s="35"/>
      <c r="Q65" s="36"/>
      <c r="R65" s="36"/>
      <c r="S65" s="36"/>
      <c r="T65" s="36"/>
      <c r="U65" s="36"/>
      <c r="V65" s="36"/>
      <c r="W65" s="36"/>
      <c r="X65" s="36"/>
      <c r="Y65" s="37"/>
    </row>
  </sheetData>
  <sortState ref="I2:I54">
    <sortCondition ref="I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26</xdr:col>
                    <xdr:colOff>209550</xdr:colOff>
                    <xdr:row>5</xdr:row>
                    <xdr:rowOff>200025</xdr:rowOff>
                  </from>
                  <to>
                    <xdr:col>28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26</xdr:col>
                    <xdr:colOff>209550</xdr:colOff>
                    <xdr:row>7</xdr:row>
                    <xdr:rowOff>190500</xdr:rowOff>
                  </from>
                  <to>
                    <xdr:col>28</xdr:col>
                    <xdr:colOff>323850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26</xdr:col>
                    <xdr:colOff>219075</xdr:colOff>
                    <xdr:row>10</xdr:row>
                    <xdr:rowOff>9525</xdr:rowOff>
                  </from>
                  <to>
                    <xdr:col>28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26</xdr:col>
                    <xdr:colOff>228600</xdr:colOff>
                    <xdr:row>12</xdr:row>
                    <xdr:rowOff>9525</xdr:rowOff>
                  </from>
                  <to>
                    <xdr:col>28</xdr:col>
                    <xdr:colOff>342900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24</xdr:col>
                    <xdr:colOff>19050</xdr:colOff>
                    <xdr:row>4</xdr:row>
                    <xdr:rowOff>19050</xdr:rowOff>
                  </from>
                  <to>
                    <xdr:col>30</xdr:col>
                    <xdr:colOff>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25</xdr:col>
                    <xdr:colOff>9525</xdr:colOff>
                    <xdr:row>13</xdr:row>
                    <xdr:rowOff>171450</xdr:rowOff>
                  </from>
                  <to>
                    <xdr:col>27</xdr:col>
                    <xdr:colOff>9525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2018-02-16T22:24:19Z</dcterms:modified>
</cp:coreProperties>
</file>