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brielMiller\OneDrive - TechHoncho\Internal\Bentley\SP2018\CS620\Project\"/>
    </mc:Choice>
  </mc:AlternateContent>
  <xr:revisionPtr revIDLastSave="239" documentId="8_{621077B9-E401-4754-B263-2C631932869B}" xr6:coauthVersionLast="28" xr6:coauthVersionMax="28" xr10:uidLastSave="{4D0DA40C-7896-4B83-8056-196DD46E53A6}"/>
  <bookViews>
    <workbookView xWindow="0" yWindow="0" windowWidth="16605" windowHeight="10185" activeTab="5" xr2:uid="{C1C46FD2-3679-46FC-9279-7B323C354613}"/>
  </bookViews>
  <sheets>
    <sheet name="Sheet1" sheetId="1" r:id="rId1"/>
    <sheet name="Faculity" sheetId="2" r:id="rId2"/>
    <sheet name="Courses" sheetId="3" r:id="rId3"/>
    <sheet name="Sheet2" sheetId="5" r:id="rId4"/>
    <sheet name="Sheet4" sheetId="7" r:id="rId5"/>
    <sheet name="MasterSheet" sheetId="6" r:id="rId6"/>
  </sheets>
  <functionGroups builtInGroupCount="19"/>
  <definedNames>
    <definedName name="CourseList">MasterSheet!$J$2:$J$19</definedName>
    <definedName name="Days">MasterSheet!$K$2:$K$9</definedName>
    <definedName name="InputRange" localSheetId="0">OFFSET(Sheet1!$A$2,0,0,COUNTA(Sheet1!$A:$A)-1,1)</definedName>
    <definedName name="Name">MasterSheet!$I$2:$I$33</definedName>
    <definedName name="ProfessorClass">MasterSheet!$P$22:$P$65</definedName>
    <definedName name="ProfFullTime">MasterSheet!$F$2,MasterSheet!$F$6,MasterSheet!$F$7,MasterSheet!$F$11,MasterSheet!$F$13,MasterSheet!$F$15,MasterSheet!$F$16,MasterSheet!$F$17,MasterSheet!$F$18,MasterSheet!$F$21,MasterSheet!$F$22,MasterSheet!$F$26,MasterSheet!$F$29,MasterSheet!$F$31,MasterSheet!$F$32,MasterSheet!$F$33</definedName>
    <definedName name="ProfFullTimeUsed">MasterSheet!$H$2,MasterSheet!$H$6,MasterSheet!$H$7,MasterSheet!$H$11,MasterSheet!$H$13,MasterSheet!$H$15,MasterSheet!$H$16,MasterSheet!$H$17,MasterSheet!$H$18,MasterSheet!$H$21,MasterSheet!$H$22,MasterSheet!$H$26,MasterSheet!$H$29,MasterSheet!$H$31,MasterSheet!$H$32,MasterSheet!$H$33</definedName>
    <definedName name="ProfPartTime">MasterSheet!$F$30,MasterSheet!$F$28,MasterSheet!$F$27,MasterSheet!$F$25,MasterSheet!$F$24,MasterSheet!$F$23,MasterSheet!$F$20,MasterSheet!$F$19,MasterSheet!$F$14,MasterSheet!$F$12,MasterSheet!$F$10,MasterSheet!$F$9,MasterSheet!$F$8,MasterSheet!$F$5,MasterSheet!$F$4,MasterSheet!$F$3</definedName>
    <definedName name="ProfPartTimeUsed">MasterSheet!$H$30,MasterSheet!$H$28,MasterSheet!$H$27,MasterSheet!$H$25,MasterSheet!$H$24,MasterSheet!$H$23,MasterSheet!$H$20,MasterSheet!$H$19,MasterSheet!$H$14,MasterSheet!$H$10,MasterSheet!$H$9,MasterSheet!$H$8,MasterSheet!$H$5,MasterSheet!$H$4,MasterSheet!$H$3</definedName>
    <definedName name="solver_eng" localSheetId="5" hidden="1">1</definedName>
    <definedName name="solver_neg" localSheetId="5" hidden="1">1</definedName>
    <definedName name="solver_num" localSheetId="5" hidden="1">0</definedName>
    <definedName name="solver_opt" localSheetId="5" hidden="1">MasterSheet!$W$19</definedName>
    <definedName name="solver_typ" localSheetId="5" hidden="1">2</definedName>
    <definedName name="solver_val" localSheetId="5" hidden="1">0</definedName>
    <definedName name="solver_ver" localSheetId="5" hidden="1">3</definedName>
    <definedName name="Times">MasterSheet!$L$2:$L$11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37" i="6" l="1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Z37" i="6"/>
  <c r="Z38" i="6"/>
  <c r="Z39" i="6"/>
  <c r="Z40" i="6"/>
  <c r="Z41" i="6"/>
  <c r="Z42" i="6"/>
  <c r="Z43" i="6"/>
  <c r="Z44" i="6"/>
  <c r="Z45" i="6"/>
  <c r="Z46" i="6"/>
  <c r="Z47" i="6"/>
  <c r="Z48" i="6"/>
  <c r="Z49" i="6"/>
  <c r="Z50" i="6"/>
  <c r="Z51" i="6"/>
  <c r="Z52" i="6"/>
  <c r="Z53" i="6"/>
  <c r="Z54" i="6"/>
  <c r="Z55" i="6"/>
  <c r="Z56" i="6"/>
  <c r="Z57" i="6"/>
  <c r="Z58" i="6"/>
  <c r="Z59" i="6"/>
  <c r="Z60" i="6"/>
  <c r="Z61" i="6"/>
  <c r="Z62" i="6"/>
  <c r="Z63" i="6"/>
  <c r="Z64" i="6"/>
  <c r="Z65" i="6"/>
  <c r="AA23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22" i="6"/>
  <c r="Z36" i="6"/>
  <c r="Z23" i="6"/>
  <c r="Z24" i="6"/>
  <c r="Z25" i="6"/>
  <c r="Z26" i="6"/>
  <c r="Z27" i="6"/>
  <c r="Z28" i="6"/>
  <c r="Z29" i="6"/>
  <c r="Z30" i="6"/>
  <c r="Z31" i="6"/>
  <c r="Z32" i="6"/>
  <c r="Z33" i="6"/>
  <c r="Z34" i="6"/>
  <c r="Z35" i="6"/>
  <c r="Z22" i="6"/>
  <c r="AB25" i="6" l="1"/>
  <c r="AB24" i="6"/>
  <c r="AB23" i="6"/>
  <c r="AB26" i="6"/>
  <c r="AB22" i="6"/>
  <c r="AB27" i="6"/>
  <c r="AC23" i="6"/>
  <c r="AE27" i="6"/>
  <c r="AE39" i="6"/>
  <c r="AB58" i="6"/>
  <c r="AB50" i="6"/>
  <c r="AB42" i="6"/>
  <c r="AB30" i="6"/>
  <c r="AC62" i="6"/>
  <c r="AC54" i="6"/>
  <c r="AC42" i="6"/>
  <c r="AC30" i="6"/>
  <c r="AE28" i="6"/>
  <c r="AE36" i="6"/>
  <c r="AB65" i="6"/>
  <c r="AB57" i="6"/>
  <c r="AB49" i="6"/>
  <c r="AB41" i="6"/>
  <c r="AB33" i="6"/>
  <c r="AC65" i="6"/>
  <c r="AC61" i="6"/>
  <c r="AC57" i="6"/>
  <c r="AC53" i="6"/>
  <c r="AC49" i="6"/>
  <c r="AC45" i="6"/>
  <c r="AC41" i="6"/>
  <c r="AC37" i="6"/>
  <c r="AC33" i="6"/>
  <c r="AC29" i="6"/>
  <c r="AC25" i="6"/>
  <c r="AE23" i="6"/>
  <c r="AE35" i="6"/>
  <c r="AB62" i="6"/>
  <c r="AB38" i="6"/>
  <c r="AC58" i="6"/>
  <c r="AC46" i="6"/>
  <c r="AC38" i="6"/>
  <c r="AC26" i="6"/>
  <c r="AE32" i="6"/>
  <c r="AE40" i="6"/>
  <c r="AB61" i="6"/>
  <c r="AB53" i="6"/>
  <c r="AB45" i="6"/>
  <c r="AB37" i="6"/>
  <c r="AB29" i="6"/>
  <c r="AE25" i="6"/>
  <c r="AE29" i="6"/>
  <c r="AE33" i="6"/>
  <c r="AE37" i="6"/>
  <c r="AB64" i="6"/>
  <c r="AB60" i="6"/>
  <c r="AB56" i="6"/>
  <c r="AB52" i="6"/>
  <c r="AB48" i="6"/>
  <c r="AB44" i="6"/>
  <c r="AB40" i="6"/>
  <c r="AB36" i="6"/>
  <c r="AB32" i="6"/>
  <c r="AB28" i="6"/>
  <c r="AC64" i="6"/>
  <c r="AC60" i="6"/>
  <c r="AC56" i="6"/>
  <c r="AC52" i="6"/>
  <c r="AC48" i="6"/>
  <c r="AC44" i="6"/>
  <c r="AC40" i="6"/>
  <c r="AC36" i="6"/>
  <c r="AC32" i="6"/>
  <c r="AC28" i="6"/>
  <c r="AC24" i="6"/>
  <c r="AE31" i="6"/>
  <c r="AB66" i="6"/>
  <c r="AB54" i="6"/>
  <c r="AB46" i="6"/>
  <c r="AB34" i="6"/>
  <c r="AC66" i="6"/>
  <c r="AC50" i="6"/>
  <c r="AC34" i="6"/>
  <c r="AE24" i="6"/>
  <c r="AE22" i="6"/>
  <c r="AE26" i="6"/>
  <c r="AE30" i="6"/>
  <c r="AE34" i="6"/>
  <c r="AE38" i="6"/>
  <c r="AB63" i="6"/>
  <c r="AB59" i="6"/>
  <c r="AB55" i="6"/>
  <c r="AB51" i="6"/>
  <c r="AB47" i="6"/>
  <c r="AB43" i="6"/>
  <c r="AB39" i="6"/>
  <c r="AB35" i="6"/>
  <c r="AB31" i="6"/>
  <c r="AC22" i="6"/>
  <c r="AC63" i="6"/>
  <c r="AC59" i="6"/>
  <c r="AC55" i="6"/>
  <c r="AC51" i="6"/>
  <c r="AC47" i="6"/>
  <c r="AC43" i="6"/>
  <c r="AC39" i="6"/>
  <c r="AC35" i="6"/>
  <c r="AC31" i="6"/>
  <c r="AC27" i="6"/>
  <c r="W3" i="6"/>
  <c r="L18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" i="6"/>
  <c r="H2" i="6"/>
  <c r="Y3" i="6" l="1"/>
  <c r="V18" i="6"/>
  <c r="T19" i="6"/>
  <c r="U19" i="6"/>
  <c r="V19" i="6"/>
  <c r="U18" i="6"/>
  <c r="T18" i="6"/>
  <c r="S19" i="6"/>
  <c r="S18" i="6"/>
  <c r="X2" i="6" l="1"/>
  <c r="G17" i="6" l="1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2" i="6"/>
  <c r="V3" i="6" l="1"/>
  <c r="AA3" i="6" s="1"/>
  <c r="U3" i="6"/>
  <c r="T3" i="6"/>
  <c r="I18" i="2"/>
  <c r="Z3" i="6" l="1"/>
  <c r="F19" i="5"/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2" i="1"/>
  <c r="M5" i="2" l="1"/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H17" i="1"/>
  <c r="I18" i="1"/>
  <c r="H18" i="1"/>
  <c r="I17" i="1"/>
  <c r="G18" i="1"/>
  <c r="G17" i="1"/>
  <c r="C30" i="1" l="1"/>
  <c r="C26" i="1"/>
  <c r="C18" i="1"/>
  <c r="C6" i="1"/>
  <c r="C29" i="1"/>
  <c r="C32" i="1"/>
  <c r="C28" i="1"/>
  <c r="C24" i="1"/>
  <c r="C20" i="1"/>
  <c r="C16" i="1"/>
  <c r="C12" i="1"/>
  <c r="C8" i="1"/>
  <c r="C4" i="1"/>
  <c r="C22" i="1"/>
  <c r="C14" i="1"/>
  <c r="C10" i="1"/>
  <c r="C33" i="1"/>
  <c r="C31" i="1"/>
  <c r="C27" i="1"/>
  <c r="C23" i="1"/>
  <c r="C19" i="1"/>
  <c r="C15" i="1"/>
  <c r="C11" i="1"/>
  <c r="C7" i="1"/>
  <c r="C3" i="1"/>
  <c r="C25" i="1"/>
  <c r="C21" i="1"/>
  <c r="C17" i="1"/>
  <c r="C13" i="1"/>
  <c r="C9" i="1"/>
  <c r="C5" i="1"/>
  <c r="C2" i="1"/>
  <c r="I5" i="1" l="1"/>
</calcChain>
</file>

<file path=xl/sharedStrings.xml><?xml version="1.0" encoding="utf-8"?>
<sst xmlns="http://schemas.openxmlformats.org/spreadsheetml/2006/main" count="1018" uniqueCount="248">
  <si>
    <t>pink</t>
  </si>
  <si>
    <t>blue</t>
  </si>
  <si>
    <t>green</t>
  </si>
  <si>
    <t>red</t>
  </si>
  <si>
    <t>Number in column C</t>
  </si>
  <si>
    <t>Classes</t>
  </si>
  <si>
    <t>8 to 9</t>
  </si>
  <si>
    <t>9 to 10</t>
  </si>
  <si>
    <t>10 to 11</t>
  </si>
  <si>
    <t>parameter</t>
  </si>
  <si>
    <t>used</t>
  </si>
  <si>
    <t>Monday</t>
  </si>
  <si>
    <t>Tuesday</t>
  </si>
  <si>
    <t>Wednesday</t>
  </si>
  <si>
    <t>Thursday</t>
  </si>
  <si>
    <t>05:00PM - 07:20PM</t>
  </si>
  <si>
    <t>07:30PM - 09:50PM</t>
  </si>
  <si>
    <t>CIS Faculty</t>
  </si>
  <si>
    <t>Name</t>
  </si>
  <si>
    <t>FT/Adjunct</t>
  </si>
  <si>
    <t>Rank</t>
  </si>
  <si>
    <t>Qantified Rank</t>
  </si>
  <si>
    <t>Rank order basis</t>
  </si>
  <si>
    <t>Akram Ahmed</t>
  </si>
  <si>
    <t>FT</t>
  </si>
  <si>
    <t>Senior Lecturer</t>
  </si>
  <si>
    <t>Professor</t>
  </si>
  <si>
    <t>Tamara Babaian</t>
  </si>
  <si>
    <t>Associate Professor</t>
  </si>
  <si>
    <t>Associate professor</t>
  </si>
  <si>
    <t>Jay Cooprider</t>
  </si>
  <si>
    <t>Assistant professor</t>
  </si>
  <si>
    <t>Mark Frydenberg</t>
  </si>
  <si>
    <t>Monica Garfield</t>
  </si>
  <si>
    <t>Lecturer</t>
  </si>
  <si>
    <t>Vatche Ishakian</t>
  </si>
  <si>
    <t>Assistant Professor</t>
  </si>
  <si>
    <t>Adjunct</t>
  </si>
  <si>
    <t>Wendy Lucas</t>
  </si>
  <si>
    <t>Elizabeth McCarron</t>
  </si>
  <si>
    <t>Xinru Page</t>
  </si>
  <si>
    <t>James Pape</t>
  </si>
  <si>
    <t>Bill Schiano</t>
  </si>
  <si>
    <t>Heikki Topi</t>
  </si>
  <si>
    <t>Bill Vanderclock</t>
  </si>
  <si>
    <t>Les Waguespack</t>
  </si>
  <si>
    <t>Jennifer Xu</t>
  </si>
  <si>
    <t>David Yates</t>
  </si>
  <si>
    <t>Donald Aucoin</t>
  </si>
  <si>
    <t>Adjunct Lecturer</t>
  </si>
  <si>
    <t>Michael Banks</t>
  </si>
  <si>
    <t>Anstasia Biggs</t>
  </si>
  <si>
    <t>Mimoza Dimodugno</t>
  </si>
  <si>
    <t>Joed Graf</t>
  </si>
  <si>
    <t>Andrea Jones</t>
  </si>
  <si>
    <t>Matthew Macarty</t>
  </si>
  <si>
    <t>Joseph Nezuh</t>
  </si>
  <si>
    <t>Anne Pugliese</t>
  </si>
  <si>
    <t>Trish Rice</t>
  </si>
  <si>
    <t>David Rude</t>
  </si>
  <si>
    <t>Gaurav Shah</t>
  </si>
  <si>
    <t>Daniel Sheehan</t>
  </si>
  <si>
    <t>Robert Stubbs</t>
  </si>
  <si>
    <t>Stephen Tracy</t>
  </si>
  <si>
    <t>Charles Wright</t>
  </si>
  <si>
    <t>CRN</t>
  </si>
  <si>
    <t>Course</t>
  </si>
  <si>
    <t xml:space="preserve">Section </t>
  </si>
  <si>
    <t>Part of Term</t>
  </si>
  <si>
    <t>Title/Notes</t>
  </si>
  <si>
    <t>Graduate/Undergraduate?</t>
  </si>
  <si>
    <t>Days</t>
  </si>
  <si>
    <t>Times</t>
  </si>
  <si>
    <t>Room</t>
  </si>
  <si>
    <t>Instructor</t>
  </si>
  <si>
    <t>Part-time/Full-time?</t>
  </si>
  <si>
    <t xml:space="preserve">CS 605 </t>
  </si>
  <si>
    <t>Data Management &amp; Modeling </t>
  </si>
  <si>
    <t>Graduate</t>
  </si>
  <si>
    <t>M</t>
  </si>
  <si>
    <t>JEN 210</t>
  </si>
  <si>
    <t>Babaian, T</t>
  </si>
  <si>
    <t>Full -time</t>
  </si>
  <si>
    <t>CS 620</t>
  </si>
  <si>
    <t>100</t>
  </si>
  <si>
    <t>Global IT Project Management</t>
  </si>
  <si>
    <t>R</t>
  </si>
  <si>
    <t>JEN 309</t>
  </si>
  <si>
    <t>Schiano, W</t>
  </si>
  <si>
    <t xml:space="preserve">CS 603 </t>
  </si>
  <si>
    <t>Object-Oriented Applic Develop </t>
  </si>
  <si>
    <t>SMI 301</t>
  </si>
  <si>
    <t>Rude, D</t>
  </si>
  <si>
    <t>Part-time</t>
  </si>
  <si>
    <t xml:space="preserve">CS 610 </t>
  </si>
  <si>
    <t>Enterprise Architecture</t>
  </si>
  <si>
    <t>T</t>
  </si>
  <si>
    <t>CS 630</t>
  </si>
  <si>
    <t>Systems Analysis and Design</t>
  </si>
  <si>
    <t>SMI 212</t>
  </si>
  <si>
    <t>Topi, H</t>
  </si>
  <si>
    <t>W</t>
  </si>
  <si>
    <t>SMI 103</t>
  </si>
  <si>
    <t>Lucas, W</t>
  </si>
  <si>
    <t xml:space="preserve">CS 680 </t>
  </si>
  <si>
    <t>Mobile Application Development</t>
  </si>
  <si>
    <t>Pepe, J</t>
  </si>
  <si>
    <t>HB1</t>
  </si>
  <si>
    <t>SMI 201</t>
  </si>
  <si>
    <t>CS 650</t>
  </si>
  <si>
    <t>Data Management Architectures</t>
  </si>
  <si>
    <t>Cooprider, J</t>
  </si>
  <si>
    <t>HB2</t>
  </si>
  <si>
    <t>Data Management &amp; Modeling</t>
  </si>
  <si>
    <t>12:30PM - 02:50PM</t>
  </si>
  <si>
    <t>Ahmed, A</t>
  </si>
  <si>
    <t>CS 607 1GU/CS 440 EGU</t>
  </si>
  <si>
    <t>1GU</t>
  </si>
  <si>
    <t>Techn Infrastr of Info Systems /Adv Net-Centric Comp </t>
  </si>
  <si>
    <t>Graduate/Undergraduate Evening</t>
  </si>
  <si>
    <t>SMI 303</t>
  </si>
  <si>
    <t>Ishakian, V</t>
  </si>
  <si>
    <t xml:space="preserve">CS 150 </t>
  </si>
  <si>
    <t>1</t>
  </si>
  <si>
    <t>Intro Data &amp; Info Mgmt</t>
  </si>
  <si>
    <t>Undergraduate</t>
  </si>
  <si>
    <t>MR</t>
  </si>
  <si>
    <t>02:00PM - 03:20PM</t>
  </si>
  <si>
    <t>Graf, J</t>
  </si>
  <si>
    <t>Part -time</t>
  </si>
  <si>
    <t>CS 350</t>
  </si>
  <si>
    <t>Database Management Systems </t>
  </si>
  <si>
    <t xml:space="preserve">IT 101 </t>
  </si>
  <si>
    <t>Info Tech and Computer System </t>
  </si>
  <si>
    <t>VanderClock, W</t>
  </si>
  <si>
    <t>Intro Data &amp; Info Mgmt </t>
  </si>
  <si>
    <t>11:00AM - 12:20PM</t>
  </si>
  <si>
    <t>SMI 101</t>
  </si>
  <si>
    <t xml:space="preserve">CS 213 </t>
  </si>
  <si>
    <t>The World Wide Web </t>
  </si>
  <si>
    <t>McCarron, E</t>
  </si>
  <si>
    <t>SL1</t>
  </si>
  <si>
    <t>12:30PM - 01:50PM</t>
  </si>
  <si>
    <t xml:space="preserve">CS 240 </t>
  </si>
  <si>
    <t>Bus Proc &amp; Comm Infrastructure</t>
  </si>
  <si>
    <t>SMI 218</t>
  </si>
  <si>
    <t>CS 150</t>
  </si>
  <si>
    <t>MW</t>
  </si>
  <si>
    <t>03:30PM - 04:50PM</t>
  </si>
  <si>
    <t xml:space="preserve">CS 299 </t>
  </si>
  <si>
    <t>Intro to Programmin w/Python </t>
  </si>
  <si>
    <t>Frydenberg, M</t>
  </si>
  <si>
    <t>IT 101</t>
  </si>
  <si>
    <t>Macarty, M</t>
  </si>
  <si>
    <t>X01</t>
  </si>
  <si>
    <t>05:00PM - 06:20PM</t>
  </si>
  <si>
    <t>SMI 210</t>
  </si>
  <si>
    <t>SMI 116</t>
  </si>
  <si>
    <t>Dimodugno, M</t>
  </si>
  <si>
    <t>08:00AM - 09:20AM</t>
  </si>
  <si>
    <t>Nezuh, J</t>
  </si>
  <si>
    <t>09:30AM - 10:50AM</t>
  </si>
  <si>
    <t>Biggs, A</t>
  </si>
  <si>
    <t>H01</t>
  </si>
  <si>
    <t>(H) Info Tech and Comp System </t>
  </si>
  <si>
    <t xml:space="preserve">CS 350 </t>
  </si>
  <si>
    <t>08:00AM - 10:50AM</t>
  </si>
  <si>
    <t>TF</t>
  </si>
  <si>
    <t xml:space="preserve">CS 180 </t>
  </si>
  <si>
    <t>Programming Fundamentals </t>
  </si>
  <si>
    <t>Page, X</t>
  </si>
  <si>
    <t xml:space="preserve">CS 460 </t>
  </si>
  <si>
    <t>IS Proj Mgmt &amp; Practice</t>
  </si>
  <si>
    <t>Yates, D</t>
  </si>
  <si>
    <t>SMI 307</t>
  </si>
  <si>
    <t>Tracey, S</t>
  </si>
  <si>
    <t>Intro to Programming w/Python </t>
  </si>
  <si>
    <t>SMI 203</t>
  </si>
  <si>
    <t>Xu, J</t>
  </si>
  <si>
    <t>SMI 118</t>
  </si>
  <si>
    <t>Rice, P</t>
  </si>
  <si>
    <t>TR</t>
  </si>
  <si>
    <t xml:space="preserve">CS 480 </t>
  </si>
  <si>
    <t>Advanced App Development Tech</t>
  </si>
  <si>
    <t xml:space="preserve">CS 360 </t>
  </si>
  <si>
    <t>Bus Sys Anal &amp; Modeling</t>
  </si>
  <si>
    <t>11:00AM - 01:50PM</t>
  </si>
  <si>
    <t>Waguespack, L</t>
  </si>
  <si>
    <t>E01</t>
  </si>
  <si>
    <t>Undergraduate Evening</t>
  </si>
  <si>
    <t>06:30PM - 09:10PM</t>
  </si>
  <si>
    <t>Stubbs, R</t>
  </si>
  <si>
    <t>E02</t>
  </si>
  <si>
    <t>1A</t>
  </si>
  <si>
    <t>Wright, C</t>
  </si>
  <si>
    <t>Banks, M</t>
  </si>
  <si>
    <t>Jones, A</t>
  </si>
  <si>
    <t>SMI 216</t>
  </si>
  <si>
    <t>CS 360</t>
  </si>
  <si>
    <r>
      <t> </t>
    </r>
    <r>
      <rPr>
        <sz val="14"/>
        <color rgb="FF333333"/>
        <rFont val="Helvetica Neue"/>
      </rPr>
      <t> </t>
    </r>
    <r>
      <rPr>
        <sz val="14"/>
        <color rgb="FF00AAFF"/>
        <rFont val="Helvetica Neue"/>
      </rPr>
      <t> </t>
    </r>
    <r>
      <rPr>
        <sz val="14"/>
        <color rgb="FF333333"/>
        <rFont val="Helvetica Neue"/>
      </rPr>
      <t> </t>
    </r>
    <r>
      <rPr>
        <sz val="14"/>
        <color rgb="FF00AAFF"/>
        <rFont val="Helvetica Neue"/>
      </rPr>
      <t> </t>
    </r>
  </si>
  <si>
    <t>Is CIS</t>
  </si>
  <si>
    <t xml:space="preserve">                       ' 10825 10066</t>
  </si>
  <si>
    <t>CS 607</t>
  </si>
  <si>
    <t>Day</t>
  </si>
  <si>
    <t>Time</t>
  </si>
  <si>
    <t>Courses</t>
  </si>
  <si>
    <t>NameIndex</t>
  </si>
  <si>
    <t>CourseIndex</t>
  </si>
  <si>
    <t>DaysIndex</t>
  </si>
  <si>
    <t>Professor:</t>
  </si>
  <si>
    <t>Course:</t>
  </si>
  <si>
    <t>Days:</t>
  </si>
  <si>
    <t>Times:</t>
  </si>
  <si>
    <t>Can be scheduled</t>
  </si>
  <si>
    <t>Currently Scheduled</t>
  </si>
  <si>
    <t>Block #</t>
  </si>
  <si>
    <t>Day(s)</t>
  </si>
  <si>
    <t>Start Time</t>
  </si>
  <si>
    <t>End Time</t>
  </si>
  <si>
    <t>5:00pm</t>
  </si>
  <si>
    <t>7:20pm</t>
  </si>
  <si>
    <t>9:50pm</t>
  </si>
  <si>
    <t>Monday - M</t>
  </si>
  <si>
    <t>Tuesday - T</t>
  </si>
  <si>
    <t>Wednesday - W</t>
  </si>
  <si>
    <t>Thursday - R</t>
  </si>
  <si>
    <t>Friday - F</t>
  </si>
  <si>
    <t>x</t>
  </si>
  <si>
    <t>5:00pm 7:20pm</t>
  </si>
  <si>
    <t>7:30pm 9:50pm</t>
  </si>
  <si>
    <t>Courseindex</t>
  </si>
  <si>
    <t>TimesIndex</t>
  </si>
  <si>
    <t>ClassBlocKIndex</t>
  </si>
  <si>
    <t>ClassBlockIndex</t>
  </si>
  <si>
    <t>ClassBlockIndexREF</t>
  </si>
  <si>
    <t>(DaysIndex*DaysIndex*TimesIndex)</t>
  </si>
  <si>
    <t>Graduate Course Schedule</t>
  </si>
  <si>
    <t>GraduateIDaysIndx</t>
  </si>
  <si>
    <t>GraduateTimesIndx</t>
  </si>
  <si>
    <t>Dynamic Scheduling</t>
  </si>
  <si>
    <t>NumberofClassesScheduled</t>
  </si>
  <si>
    <t>Error Message:</t>
  </si>
  <si>
    <t>This Professor has been scheduled too may times. Pick someone else.</t>
  </si>
  <si>
    <t>AlreadySchedule at time slot</t>
  </si>
  <si>
    <t>DuplicateClassSchedulingCalc</t>
  </si>
  <si>
    <t>Already Scheduled at time Slot Calc</t>
  </si>
  <si>
    <t>DuplicateClassScheduling</t>
  </si>
  <si>
    <t>AlreadyScheduleAtTimeSlot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</si>
</sst>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Arial"/>
      <family val="2"/>
    </font>
    <font>
      <sz val="12"/>
      <color rgb="FF000000"/>
      <name val="Calibri"/>
      <family val="2"/>
    </font>
    <font>
      <b/>
      <sz val="12"/>
      <color rgb="FF000000"/>
      <name val="Arial"/>
      <family val="2"/>
    </font>
    <font>
      <b/>
      <sz val="12"/>
      <name val="Calibri"/>
      <family val="2"/>
    </font>
    <font>
      <sz val="12"/>
      <name val="Calibri"/>
      <family val="2"/>
    </font>
    <font>
      <sz val="12"/>
      <color rgb="FF333333"/>
      <name val="Arial"/>
      <family val="2"/>
    </font>
    <font>
      <i/>
      <sz val="12"/>
      <color rgb="FF000000"/>
      <name val="Arial"/>
      <family val="2"/>
    </font>
    <font>
      <sz val="14"/>
      <color rgb="FFCACACA"/>
      <name val="Helvetica Neue"/>
    </font>
    <font>
      <sz val="14"/>
      <color rgb="FF00AAFF"/>
      <name val="Helvetica Neue"/>
    </font>
    <font>
      <sz val="14"/>
      <color rgb="FF333333"/>
      <name val="Helvetica Neue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41">
    <xf numFmtId="0" fontId="0" fillId="0" borderId="0" xfId="0"/>
    <xf numFmtId="0" fontId="2" fillId="0" borderId="0" xfId="0" applyFont="1"/>
    <xf numFmtId="0" fontId="4" fillId="0" borderId="0" xfId="1" applyFont="1"/>
    <xf numFmtId="0" fontId="4" fillId="0" borderId="0" xfId="1" applyFont="1" applyAlignment="1"/>
    <xf numFmtId="0" fontId="5" fillId="0" borderId="0" xfId="1" applyFont="1" applyAlignment="1"/>
    <xf numFmtId="0" fontId="3" fillId="0" borderId="0" xfId="1" applyFont="1" applyAlignment="1"/>
    <xf numFmtId="0" fontId="2" fillId="0" borderId="0" xfId="1" applyFont="1"/>
    <xf numFmtId="0" fontId="3" fillId="0" borderId="0" xfId="1" applyFont="1" applyAlignment="1">
      <alignment horizontal="left"/>
    </xf>
    <xf numFmtId="0" fontId="6" fillId="0" borderId="0" xfId="1" applyFont="1" applyAlignment="1"/>
    <xf numFmtId="0" fontId="7" fillId="0" borderId="0" xfId="1" applyFont="1"/>
    <xf numFmtId="0" fontId="2" fillId="0" borderId="0" xfId="1" applyFont="1" applyAlignment="1">
      <alignment horizontal="left"/>
    </xf>
    <xf numFmtId="0" fontId="2" fillId="0" borderId="0" xfId="1" applyFont="1" applyAlignme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" fillId="0" borderId="0" xfId="0" applyFont="1"/>
    <xf numFmtId="0" fontId="0" fillId="0" borderId="0" xfId="0" applyFill="1"/>
    <xf numFmtId="0" fontId="2" fillId="0" borderId="0" xfId="1" applyFont="1" applyAlignment="1">
      <alignment horizontal="right"/>
    </xf>
    <xf numFmtId="20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2" fillId="0" borderId="0" xfId="1" applyFont="1" applyFill="1"/>
    <xf numFmtId="0" fontId="2" fillId="0" borderId="1" xfId="1" applyFont="1" applyFill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4" xfId="0" applyBorder="1" applyAlignment="1">
      <alignment wrapText="1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wrapText="1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4" fillId="0" borderId="0" xfId="0" applyFont="1"/>
    <xf numFmtId="0" fontId="0" fillId="0" borderId="0" xfId="0" applyFill="1" applyBorder="1"/>
    <xf numFmtId="0" fontId="0" fillId="0" borderId="0" xfId="0" applyAlignment="1">
      <alignment horizontal="right"/>
    </xf>
  </cellXfs>
  <cellStyles count="2">
    <cellStyle name="Normal" xfId="0" builtinId="0"/>
    <cellStyle name="Normal 2" xfId="1" xr:uid="{A21AA347-AFBB-4020-A4F1-AEDDD9843DC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Style="combo" dx="22" fmlaLink="$D$2" fmlaRange="InputRange" noThreeD="1" sel="7" val="4"/>
</file>

<file path=xl/ctrlProps/ctrlProp2.xml><?xml version="1.0" encoding="utf-8"?>
<formControlPr xmlns="http://schemas.microsoft.com/office/spreadsheetml/2009/9/main" objectType="Drop" dropStyle="combo" dx="22" noThreeD="1" sel="0" val="0"/>
</file>

<file path=xl/ctrlProps/ctrlProp3.xml><?xml version="1.0" encoding="utf-8"?>
<formControlPr xmlns="http://schemas.microsoft.com/office/spreadsheetml/2009/9/main" objectType="Drop" dropStyle="combo" dx="22" fmlaLink="$M$6" fmlaRange="$A$3:$A$34" noThreeD="1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22" fmlaLink="$T$2" fmlaRange="$I$2:$I$33" noThreeD="1" sel="9" val="4"/>
</file>

<file path=xl/ctrlProps/ctrlProp6.xml><?xml version="1.0" encoding="utf-8"?>
<formControlPr xmlns="http://schemas.microsoft.com/office/spreadsheetml/2009/9/main" objectType="Drop" dropStyle="combo" dx="22" fmlaLink="$U$2" fmlaRange="$J$2:$J$19" noThreeD="1" sel="1" val="0"/>
</file>

<file path=xl/ctrlProps/ctrlProp7.xml><?xml version="1.0" encoding="utf-8"?>
<formControlPr xmlns="http://schemas.microsoft.com/office/spreadsheetml/2009/9/main" objectType="Drop" dropStyle="combo" dx="22" fmlaLink="$V$2" fmlaRange="$K$2:$K$9" noThreeD="1" sel="1" val="0"/>
</file>

<file path=xl/ctrlProps/ctrlProp8.xml><?xml version="1.0" encoding="utf-8"?>
<formControlPr xmlns="http://schemas.microsoft.com/office/spreadsheetml/2009/9/main" objectType="Drop" dropStyle="combo" dx="22" fmlaLink="$W$2" fmlaRange="$L$2:$L$11" noThreeD="1" sel="6" val="2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1438275</xdr:colOff>
          <xdr:row>4</xdr:row>
          <xdr:rowOff>180975</xdr:rowOff>
        </xdr:from>
        <xdr:to>
          <xdr:col>12</xdr:col>
          <xdr:colOff>0</xdr:colOff>
          <xdr:row>6</xdr:row>
          <xdr:rowOff>9525</xdr:rowOff>
        </xdr:to>
        <xdr:sp macro="" textlink="">
          <xdr:nvSpPr>
            <xdr:cNvPr id="3073" name="Drop Dow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19050</xdr:rowOff>
        </xdr:from>
        <xdr:to>
          <xdr:col>12</xdr:col>
          <xdr:colOff>28575</xdr:colOff>
          <xdr:row>7</xdr:row>
          <xdr:rowOff>19050</xdr:rowOff>
        </xdr:to>
        <xdr:sp macro="" textlink="">
          <xdr:nvSpPr>
            <xdr:cNvPr id="3074" name="Drop Dow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14</xdr:row>
          <xdr:rowOff>0</xdr:rowOff>
        </xdr:from>
        <xdr:to>
          <xdr:col>10</xdr:col>
          <xdr:colOff>590550</xdr:colOff>
          <xdr:row>15</xdr:row>
          <xdr:rowOff>0</xdr:rowOff>
        </xdr:to>
        <xdr:sp macro="" textlink="">
          <xdr:nvSpPr>
            <xdr:cNvPr id="2050" name="DropDow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7</xdr:row>
          <xdr:rowOff>19050</xdr:rowOff>
        </xdr:from>
        <xdr:to>
          <xdr:col>13</xdr:col>
          <xdr:colOff>0</xdr:colOff>
          <xdr:row>9</xdr:row>
          <xdr:rowOff>171450</xdr:rowOff>
        </xdr:to>
        <xdr:sp macro="" textlink="">
          <xdr:nvSpPr>
            <xdr:cNvPr id="7171" name="Button 3" descr="Submit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209550</xdr:colOff>
          <xdr:row>5</xdr:row>
          <xdr:rowOff>200025</xdr:rowOff>
        </xdr:from>
        <xdr:to>
          <xdr:col>26</xdr:col>
          <xdr:colOff>1543050</xdr:colOff>
          <xdr:row>7</xdr:row>
          <xdr:rowOff>0</xdr:rowOff>
        </xdr:to>
        <xdr:sp macro="" textlink="">
          <xdr:nvSpPr>
            <xdr:cNvPr id="8193" name="DropDown2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209550</xdr:colOff>
          <xdr:row>7</xdr:row>
          <xdr:rowOff>190500</xdr:rowOff>
        </xdr:from>
        <xdr:to>
          <xdr:col>26</xdr:col>
          <xdr:colOff>1543050</xdr:colOff>
          <xdr:row>8</xdr:row>
          <xdr:rowOff>190500</xdr:rowOff>
        </xdr:to>
        <xdr:sp macro="" textlink="">
          <xdr:nvSpPr>
            <xdr:cNvPr id="8195" name="DropDown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219075</xdr:colOff>
          <xdr:row>10</xdr:row>
          <xdr:rowOff>9525</xdr:rowOff>
        </xdr:from>
        <xdr:to>
          <xdr:col>26</xdr:col>
          <xdr:colOff>1552575</xdr:colOff>
          <xdr:row>11</xdr:row>
          <xdr:rowOff>0</xdr:rowOff>
        </xdr:to>
        <xdr:sp macro="" textlink="">
          <xdr:nvSpPr>
            <xdr:cNvPr id="8196" name="DropDown2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5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228600</xdr:colOff>
          <xdr:row>12</xdr:row>
          <xdr:rowOff>9525</xdr:rowOff>
        </xdr:from>
        <xdr:to>
          <xdr:col>26</xdr:col>
          <xdr:colOff>1562100</xdr:colOff>
          <xdr:row>13</xdr:row>
          <xdr:rowOff>9525</xdr:rowOff>
        </xdr:to>
        <xdr:sp macro="" textlink="">
          <xdr:nvSpPr>
            <xdr:cNvPr id="8197" name="DropDown2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5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1085850</xdr:colOff>
          <xdr:row>4</xdr:row>
          <xdr:rowOff>19050</xdr:rowOff>
        </xdr:from>
        <xdr:to>
          <xdr:col>27</xdr:col>
          <xdr:colOff>19050</xdr:colOff>
          <xdr:row>18</xdr:row>
          <xdr:rowOff>38100</xdr:rowOff>
        </xdr:to>
        <xdr:sp macro="" textlink="">
          <xdr:nvSpPr>
            <xdr:cNvPr id="8198" name="Group Box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5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352425</xdr:colOff>
          <xdr:row>13</xdr:row>
          <xdr:rowOff>171450</xdr:rowOff>
        </xdr:from>
        <xdr:to>
          <xdr:col>27</xdr:col>
          <xdr:colOff>9525</xdr:colOff>
          <xdr:row>16</xdr:row>
          <xdr:rowOff>171450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5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C1CFE-5233-4366-A645-8A9169B0054C}">
  <sheetPr codeName="Sheet1"/>
  <dimension ref="A2:O33"/>
  <sheetViews>
    <sheetView workbookViewId="0">
      <selection activeCell="M7" sqref="M7"/>
    </sheetView>
  </sheetViews>
  <sheetFormatPr defaultRowHeight="15"/>
  <cols>
    <col min="1" max="1" width="18.28515625" bestFit="1" customWidth="1"/>
    <col min="2" max="2" width="12" bestFit="1" customWidth="1"/>
    <col min="3" max="3" width="19" bestFit="1" customWidth="1"/>
    <col min="4" max="5" width="19" customWidth="1"/>
    <col min="6" max="6" width="10.28515625" bestFit="1" customWidth="1"/>
    <col min="11" max="11" width="21.85546875" bestFit="1" customWidth="1"/>
    <col min="12" max="12" width="29.42578125" customWidth="1"/>
    <col min="14" max="14" width="11.42578125" bestFit="1" customWidth="1"/>
  </cols>
  <sheetData>
    <row r="2" spans="1:15">
      <c r="A2" s="16" t="s">
        <v>23</v>
      </c>
      <c r="B2" s="15">
        <f ca="1">RAND()</f>
        <v>0.72484074381898622</v>
      </c>
      <c r="C2" t="str">
        <f ca="1">INDEX($A$2:$A$33,RANK($B2,$B$2:$B$33))</f>
        <v>Vatche Ishakian</v>
      </c>
      <c r="D2">
        <v>7</v>
      </c>
      <c r="E2" t="str">
        <f>IF(D2=1,,A2)</f>
        <v>Akram Ahmed</v>
      </c>
    </row>
    <row r="3" spans="1:15">
      <c r="A3" s="16" t="s">
        <v>27</v>
      </c>
      <c r="B3" s="15">
        <f t="shared" ref="B3:B33" ca="1" si="0">RAND()</f>
        <v>0.33153760986200398</v>
      </c>
      <c r="C3" t="str">
        <f t="shared" ref="C3:C33" ca="1" si="1">INDEX($A$2:$A$33,RANK($B3,$B$2:$B$33))</f>
        <v>Anstasia Biggs</v>
      </c>
      <c r="E3" t="str">
        <f t="shared" ref="E3:E33" si="2">IF(D3=1,,A3)</f>
        <v>Tamara Babaian</v>
      </c>
    </row>
    <row r="4" spans="1:15">
      <c r="A4" s="16" t="s">
        <v>30</v>
      </c>
      <c r="B4" s="15">
        <f t="shared" ca="1" si="0"/>
        <v>8.6825822713717749E-2</v>
      </c>
      <c r="C4" t="str">
        <f t="shared" ca="1" si="1"/>
        <v>Robert Stubbs</v>
      </c>
      <c r="E4" t="str">
        <f t="shared" si="2"/>
        <v>Jay Cooprider</v>
      </c>
      <c r="G4" t="s">
        <v>9</v>
      </c>
      <c r="H4" t="s">
        <v>10</v>
      </c>
      <c r="I4" t="s">
        <v>4</v>
      </c>
    </row>
    <row r="5" spans="1:15">
      <c r="A5" s="16" t="s">
        <v>32</v>
      </c>
      <c r="B5" s="15">
        <f t="shared" ca="1" si="0"/>
        <v>0.41206591203095955</v>
      </c>
      <c r="C5" t="str">
        <f t="shared" ca="1" si="1"/>
        <v>Jennifer Xu</v>
      </c>
      <c r="E5" t="str">
        <f t="shared" si="2"/>
        <v>Mark Frydenberg</v>
      </c>
      <c r="F5" t="s">
        <v>0</v>
      </c>
      <c r="G5">
        <v>2</v>
      </c>
      <c r="I5">
        <f ca="1">COUNTA(C2:C33)</f>
        <v>32</v>
      </c>
      <c r="L5" t="s">
        <v>11</v>
      </c>
      <c r="M5" t="s">
        <v>12</v>
      </c>
      <c r="N5" t="s">
        <v>13</v>
      </c>
      <c r="O5" t="s">
        <v>14</v>
      </c>
    </row>
    <row r="6" spans="1:15" ht="15.75">
      <c r="A6" s="16" t="s">
        <v>33</v>
      </c>
      <c r="B6" s="15">
        <f t="shared" ca="1" si="0"/>
        <v>0.26383385230934009</v>
      </c>
      <c r="C6" t="str">
        <f t="shared" ca="1" si="1"/>
        <v>Trish Rice</v>
      </c>
      <c r="E6" t="str">
        <f t="shared" si="2"/>
        <v>Monica Garfield</v>
      </c>
      <c r="F6" t="s">
        <v>1</v>
      </c>
      <c r="G6">
        <v>5</v>
      </c>
      <c r="K6" s="1" t="s">
        <v>15</v>
      </c>
    </row>
    <row r="7" spans="1:15" ht="15.75">
      <c r="A7" s="16" t="s">
        <v>35</v>
      </c>
      <c r="B7" s="15">
        <f t="shared" ca="1" si="0"/>
        <v>0.67393612471481135</v>
      </c>
      <c r="C7" t="str">
        <f t="shared" ca="1" si="1"/>
        <v>Elizabeth McCarron</v>
      </c>
      <c r="E7" t="str">
        <f t="shared" si="2"/>
        <v>Vatche Ishakian</v>
      </c>
      <c r="F7" t="s">
        <v>2</v>
      </c>
      <c r="G7">
        <v>1</v>
      </c>
      <c r="K7" s="1" t="s">
        <v>16</v>
      </c>
    </row>
    <row r="8" spans="1:15">
      <c r="A8" s="16" t="s">
        <v>38</v>
      </c>
      <c r="B8" s="15">
        <f t="shared" ca="1" si="0"/>
        <v>0.31148607252732596</v>
      </c>
      <c r="C8" t="str">
        <f t="shared" ca="1" si="1"/>
        <v>Andrea Jones</v>
      </c>
      <c r="E8" t="str">
        <f t="shared" si="2"/>
        <v>Wendy Lucas</v>
      </c>
      <c r="F8" t="s">
        <v>3</v>
      </c>
      <c r="G8">
        <v>0</v>
      </c>
    </row>
    <row r="9" spans="1:15">
      <c r="A9" s="16" t="s">
        <v>39</v>
      </c>
      <c r="B9" s="15">
        <f t="shared" ca="1" si="0"/>
        <v>0.59147502242281036</v>
      </c>
      <c r="C9" t="str">
        <f t="shared" ca="1" si="1"/>
        <v>Bill Schiano</v>
      </c>
      <c r="E9" t="str">
        <f t="shared" si="2"/>
        <v>Elizabeth McCarron</v>
      </c>
    </row>
    <row r="10" spans="1:15">
      <c r="A10" s="16" t="s">
        <v>40</v>
      </c>
      <c r="B10" s="15">
        <f t="shared" ca="1" si="0"/>
        <v>0.81531994991372192</v>
      </c>
      <c r="C10" t="str">
        <f t="shared" ca="1" si="1"/>
        <v>Mark Frydenberg</v>
      </c>
      <c r="E10" t="str">
        <f t="shared" si="2"/>
        <v>Xinru Page</v>
      </c>
    </row>
    <row r="11" spans="1:15">
      <c r="A11" s="16" t="s">
        <v>41</v>
      </c>
      <c r="B11" s="15">
        <f t="shared" ca="1" si="0"/>
        <v>6.3407430889632521E-2</v>
      </c>
      <c r="C11" t="str">
        <f t="shared" ca="1" si="1"/>
        <v>Stephen Tracy</v>
      </c>
      <c r="E11" t="str">
        <f t="shared" si="2"/>
        <v>James Pape</v>
      </c>
    </row>
    <row r="12" spans="1:15">
      <c r="A12" s="16" t="s">
        <v>42</v>
      </c>
      <c r="B12" s="15">
        <f t="shared" ca="1" si="0"/>
        <v>0.3246239382472893</v>
      </c>
      <c r="C12" t="str">
        <f t="shared" ca="1" si="1"/>
        <v>Mimoza Dimodugno</v>
      </c>
      <c r="E12" t="str">
        <f t="shared" si="2"/>
        <v>Bill Schiano</v>
      </c>
    </row>
    <row r="13" spans="1:15">
      <c r="A13" s="16" t="s">
        <v>43</v>
      </c>
      <c r="B13" s="15">
        <f t="shared" ca="1" si="0"/>
        <v>0.38525745507893394</v>
      </c>
      <c r="C13" t="str">
        <f t="shared" ca="1" si="1"/>
        <v>Michael Banks</v>
      </c>
      <c r="E13" t="str">
        <f t="shared" si="2"/>
        <v>Heikki Topi</v>
      </c>
    </row>
    <row r="14" spans="1:15">
      <c r="A14" s="16" t="s">
        <v>44</v>
      </c>
      <c r="B14" s="15">
        <f t="shared" ca="1" si="0"/>
        <v>1.818725685573952E-2</v>
      </c>
      <c r="C14" t="str">
        <f t="shared" ca="1" si="1"/>
        <v>Charles Wright</v>
      </c>
      <c r="E14" t="str">
        <f t="shared" si="2"/>
        <v>Bill Vanderclock</v>
      </c>
    </row>
    <row r="15" spans="1:15">
      <c r="A15" s="16" t="s">
        <v>45</v>
      </c>
      <c r="B15" s="15">
        <f t="shared" ca="1" si="0"/>
        <v>0.49118973502508811</v>
      </c>
      <c r="C15" t="str">
        <f t="shared" ca="1" si="1"/>
        <v>Heikki Topi</v>
      </c>
      <c r="E15" t="str">
        <f t="shared" si="2"/>
        <v>Les Waguespack</v>
      </c>
      <c r="G15" t="s">
        <v>5</v>
      </c>
    </row>
    <row r="16" spans="1:15">
      <c r="A16" s="16" t="s">
        <v>46</v>
      </c>
      <c r="B16" s="15">
        <f t="shared" ca="1" si="0"/>
        <v>0.93611151281004756</v>
      </c>
      <c r="C16" t="str">
        <f t="shared" ca="1" si="1"/>
        <v>Akram Ahmed</v>
      </c>
      <c r="E16" t="str">
        <f t="shared" si="2"/>
        <v>Jennifer Xu</v>
      </c>
      <c r="G16" t="s">
        <v>6</v>
      </c>
      <c r="H16" t="s">
        <v>7</v>
      </c>
      <c r="I16" t="s">
        <v>8</v>
      </c>
    </row>
    <row r="17" spans="1:9">
      <c r="A17" s="16" t="s">
        <v>47</v>
      </c>
      <c r="B17" s="15">
        <f t="shared" ca="1" si="0"/>
        <v>0.75865938968937674</v>
      </c>
      <c r="C17" t="str">
        <f t="shared" ca="1" si="1"/>
        <v>Monica Garfield</v>
      </c>
      <c r="E17" t="str">
        <f t="shared" si="2"/>
        <v>David Yates</v>
      </c>
      <c r="G17" t="str">
        <f>RandomSelection($F$5:$F$8)</f>
        <v>red</v>
      </c>
      <c r="H17" t="str">
        <f>RandomSelection($F$5:$F$8)</f>
        <v>pink</v>
      </c>
      <c r="I17" t="str">
        <f>RandomSelection($F$5:$F$8)</f>
        <v>red</v>
      </c>
    </row>
    <row r="18" spans="1:9">
      <c r="A18" s="16" t="s">
        <v>48</v>
      </c>
      <c r="B18" s="15">
        <f t="shared" ca="1" si="0"/>
        <v>0.87544617859185114</v>
      </c>
      <c r="C18" t="str">
        <f t="shared" ca="1" si="1"/>
        <v>Tamara Babaian</v>
      </c>
      <c r="E18" t="str">
        <f t="shared" si="2"/>
        <v>Donald Aucoin</v>
      </c>
      <c r="G18" t="str">
        <f>IF(EXACT(RandomSelection($F$5:$F$8),$F$5),"pink","notpink")</f>
        <v>notpink</v>
      </c>
      <c r="H18" t="str">
        <f t="shared" ref="H18:I18" si="3">IF(EXACT(RandomSelection($F$5:$F$8),$F$5),"pink","notpink")</f>
        <v>notpink</v>
      </c>
      <c r="I18" t="str">
        <f t="shared" si="3"/>
        <v>notpink</v>
      </c>
    </row>
    <row r="19" spans="1:9">
      <c r="A19" s="16" t="s">
        <v>50</v>
      </c>
      <c r="B19" s="15">
        <f t="shared" ca="1" si="0"/>
        <v>0.4682250927316316</v>
      </c>
      <c r="C19" t="str">
        <f t="shared" ca="1" si="1"/>
        <v>Les Waguespack</v>
      </c>
      <c r="E19" t="str">
        <f t="shared" si="2"/>
        <v>Michael Banks</v>
      </c>
    </row>
    <row r="20" spans="1:9">
      <c r="A20" s="16" t="s">
        <v>51</v>
      </c>
      <c r="B20" s="15">
        <f t="shared" ca="1" si="0"/>
        <v>0.8196027612765856</v>
      </c>
      <c r="C20" t="str">
        <f t="shared" ca="1" si="1"/>
        <v>Jay Cooprider</v>
      </c>
      <c r="E20" t="str">
        <f t="shared" si="2"/>
        <v>Anstasia Biggs</v>
      </c>
    </row>
    <row r="21" spans="1:9">
      <c r="A21" s="16" t="s">
        <v>52</v>
      </c>
      <c r="B21" s="15">
        <f t="shared" ca="1" si="0"/>
        <v>0.39698787509090805</v>
      </c>
      <c r="C21" t="str">
        <f t="shared" ca="1" si="1"/>
        <v>Donald Aucoin</v>
      </c>
      <c r="E21" t="str">
        <f t="shared" si="2"/>
        <v>Mimoza Dimodugno</v>
      </c>
    </row>
    <row r="22" spans="1:9">
      <c r="A22" s="16" t="s">
        <v>53</v>
      </c>
      <c r="B22" s="15">
        <f t="shared" ca="1" si="0"/>
        <v>9.3252746751378734E-2</v>
      </c>
      <c r="C22" t="str">
        <f t="shared" ca="1" si="1"/>
        <v>Daniel Sheehan</v>
      </c>
      <c r="E22" t="str">
        <f t="shared" si="2"/>
        <v>Joed Graf</v>
      </c>
    </row>
    <row r="23" spans="1:9">
      <c r="A23" s="16" t="s">
        <v>54</v>
      </c>
      <c r="B23" s="15">
        <f t="shared" ca="1" si="0"/>
        <v>0.48679436643299567</v>
      </c>
      <c r="C23" t="str">
        <f t="shared" ca="1" si="1"/>
        <v>Bill Vanderclock</v>
      </c>
      <c r="E23" t="str">
        <f t="shared" si="2"/>
        <v>Andrea Jones</v>
      </c>
    </row>
    <row r="24" spans="1:9">
      <c r="A24" s="16" t="s">
        <v>55</v>
      </c>
      <c r="B24" s="15">
        <f t="shared" ca="1" si="0"/>
        <v>0.62617975146332105</v>
      </c>
      <c r="C24" t="str">
        <f t="shared" ca="1" si="1"/>
        <v>Xinru Page</v>
      </c>
      <c r="E24" t="str">
        <f t="shared" si="2"/>
        <v>Matthew Macarty</v>
      </c>
    </row>
    <row r="25" spans="1:9">
      <c r="A25" s="16" t="s">
        <v>56</v>
      </c>
      <c r="B25" s="15">
        <f t="shared" ca="1" si="0"/>
        <v>0.2974295638877803</v>
      </c>
      <c r="C25" t="str">
        <f t="shared" ca="1" si="1"/>
        <v>Joseph Nezuh</v>
      </c>
      <c r="E25" t="str">
        <f t="shared" si="2"/>
        <v>Joseph Nezuh</v>
      </c>
    </row>
    <row r="26" spans="1:9">
      <c r="A26" s="16" t="s">
        <v>57</v>
      </c>
      <c r="B26" s="15">
        <f t="shared" ca="1" si="0"/>
        <v>0.27628086805015106</v>
      </c>
      <c r="C26" t="str">
        <f t="shared" ca="1" si="1"/>
        <v>Anne Pugliese</v>
      </c>
      <c r="E26" t="str">
        <f t="shared" si="2"/>
        <v>Anne Pugliese</v>
      </c>
    </row>
    <row r="27" spans="1:9">
      <c r="A27" s="16" t="s">
        <v>58</v>
      </c>
      <c r="B27" s="15">
        <f t="shared" ca="1" si="0"/>
        <v>0.13050983061367061</v>
      </c>
      <c r="C27" t="str">
        <f t="shared" ca="1" si="1"/>
        <v>Gaurav Shah</v>
      </c>
      <c r="E27" t="str">
        <f t="shared" si="2"/>
        <v>Trish Rice</v>
      </c>
    </row>
    <row r="28" spans="1:9">
      <c r="A28" s="16" t="s">
        <v>59</v>
      </c>
      <c r="B28" s="15">
        <f t="shared" ca="1" si="0"/>
        <v>0.30148532728714961</v>
      </c>
      <c r="C28" t="str">
        <f t="shared" ca="1" si="1"/>
        <v>Matthew Macarty</v>
      </c>
      <c r="E28" t="str">
        <f t="shared" si="2"/>
        <v>David Rude</v>
      </c>
    </row>
    <row r="29" spans="1:9">
      <c r="A29" s="16" t="s">
        <v>60</v>
      </c>
      <c r="B29" s="15">
        <f t="shared" ca="1" si="0"/>
        <v>0.4027184459560994</v>
      </c>
      <c r="C29" t="str">
        <f t="shared" ca="1" si="1"/>
        <v>David Yates</v>
      </c>
      <c r="E29" t="str">
        <f t="shared" si="2"/>
        <v>Gaurav Shah</v>
      </c>
    </row>
    <row r="30" spans="1:9">
      <c r="A30" s="16" t="s">
        <v>61</v>
      </c>
      <c r="B30" s="15">
        <f t="shared" ca="1" si="0"/>
        <v>0.68848849325434347</v>
      </c>
      <c r="C30" t="str">
        <f t="shared" ca="1" si="1"/>
        <v>Wendy Lucas</v>
      </c>
      <c r="E30" t="str">
        <f t="shared" si="2"/>
        <v>Daniel Sheehan</v>
      </c>
    </row>
    <row r="31" spans="1:9">
      <c r="A31" s="16" t="s">
        <v>62</v>
      </c>
      <c r="B31" s="15">
        <f t="shared" ca="1" si="0"/>
        <v>0.17970313271211502</v>
      </c>
      <c r="C31" t="str">
        <f t="shared" ca="1" si="1"/>
        <v>David Rude</v>
      </c>
      <c r="E31" t="str">
        <f t="shared" si="2"/>
        <v>Robert Stubbs</v>
      </c>
    </row>
    <row r="32" spans="1:9">
      <c r="A32" s="16" t="s">
        <v>63</v>
      </c>
      <c r="B32" s="15">
        <f t="shared" ca="1" si="0"/>
        <v>0.59491931293690747</v>
      </c>
      <c r="C32" t="str">
        <f t="shared" ca="1" si="1"/>
        <v>James Pape</v>
      </c>
      <c r="E32" t="str">
        <f t="shared" si="2"/>
        <v>Stephen Tracy</v>
      </c>
    </row>
    <row r="33" spans="1:5">
      <c r="A33" s="16" t="s">
        <v>64</v>
      </c>
      <c r="B33" s="15">
        <f t="shared" ca="1" si="0"/>
        <v>0.32385637336613282</v>
      </c>
      <c r="C33" t="str">
        <f t="shared" ca="1" si="1"/>
        <v>Joed Graf</v>
      </c>
      <c r="E33" t="str">
        <f t="shared" si="2"/>
        <v>Charles Wright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Drop Down 1">
              <controlPr defaultSize="0" autoLine="0" autoPict="0">
                <anchor moveWithCells="1">
                  <from>
                    <xdr:col>10</xdr:col>
                    <xdr:colOff>1438275</xdr:colOff>
                    <xdr:row>4</xdr:row>
                    <xdr:rowOff>180975</xdr:rowOff>
                  </from>
                  <to>
                    <xdr:col>12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Drop Down 2">
              <controlPr defaultSize="0" autoLine="0" autoPict="0">
                <anchor moveWithCells="1">
                  <from>
                    <xdr:col>11</xdr:col>
                    <xdr:colOff>0</xdr:colOff>
                    <xdr:row>6</xdr:row>
                    <xdr:rowOff>19050</xdr:rowOff>
                  </from>
                  <to>
                    <xdr:col>12</xdr:col>
                    <xdr:colOff>28575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972BB-3FBA-4976-85C4-EC57167F51A2}">
  <sheetPr codeName="Sheet2"/>
  <dimension ref="A1:M34"/>
  <sheetViews>
    <sheetView workbookViewId="0">
      <selection activeCell="B2" sqref="B2:E34"/>
    </sheetView>
  </sheetViews>
  <sheetFormatPr defaultRowHeight="15"/>
  <cols>
    <col min="1" max="1" width="19.140625" customWidth="1"/>
    <col min="2" max="2" width="9.7109375" bestFit="1" customWidth="1"/>
    <col min="3" max="3" width="17.28515625" bestFit="1" customWidth="1"/>
    <col min="4" max="4" width="14.28515625" bestFit="1" customWidth="1"/>
    <col min="12" max="12" width="13.7109375" bestFit="1" customWidth="1"/>
  </cols>
  <sheetData>
    <row r="1" spans="1:13">
      <c r="A1" t="s">
        <v>17</v>
      </c>
    </row>
    <row r="2" spans="1:13">
      <c r="A2" t="s">
        <v>18</v>
      </c>
      <c r="B2" t="s">
        <v>19</v>
      </c>
      <c r="C2" t="s">
        <v>20</v>
      </c>
      <c r="D2" t="s">
        <v>21</v>
      </c>
      <c r="E2" t="s">
        <v>200</v>
      </c>
      <c r="G2" t="s">
        <v>22</v>
      </c>
    </row>
    <row r="3" spans="1:13">
      <c r="A3" t="s">
        <v>23</v>
      </c>
      <c r="B3" t="s">
        <v>24</v>
      </c>
      <c r="C3" t="s">
        <v>25</v>
      </c>
      <c r="D3">
        <v>4</v>
      </c>
      <c r="E3">
        <v>1</v>
      </c>
      <c r="G3">
        <v>1</v>
      </c>
      <c r="H3" t="s">
        <v>26</v>
      </c>
    </row>
    <row r="4" spans="1:13">
      <c r="A4" t="s">
        <v>54</v>
      </c>
      <c r="B4" t="s">
        <v>37</v>
      </c>
      <c r="C4" t="s">
        <v>49</v>
      </c>
      <c r="D4">
        <v>6</v>
      </c>
      <c r="E4">
        <v>1</v>
      </c>
      <c r="G4">
        <v>2</v>
      </c>
      <c r="H4" t="s">
        <v>29</v>
      </c>
      <c r="M4" t="s">
        <v>200</v>
      </c>
    </row>
    <row r="5" spans="1:13">
      <c r="A5" t="s">
        <v>57</v>
      </c>
      <c r="B5" t="s">
        <v>37</v>
      </c>
      <c r="C5" t="s">
        <v>49</v>
      </c>
      <c r="D5">
        <v>6</v>
      </c>
      <c r="E5">
        <v>1</v>
      </c>
      <c r="G5">
        <v>3</v>
      </c>
      <c r="H5" t="s">
        <v>31</v>
      </c>
      <c r="L5" t="s">
        <v>23</v>
      </c>
      <c r="M5">
        <f>MATCH(L5,A3:A34,0)</f>
        <v>1</v>
      </c>
    </row>
    <row r="6" spans="1:13">
      <c r="A6" t="s">
        <v>51</v>
      </c>
      <c r="B6" t="s">
        <v>37</v>
      </c>
      <c r="C6" t="s">
        <v>49</v>
      </c>
      <c r="D6">
        <v>6</v>
      </c>
      <c r="E6">
        <v>1</v>
      </c>
      <c r="G6">
        <v>4</v>
      </c>
      <c r="H6" t="s">
        <v>25</v>
      </c>
      <c r="M6">
        <v>1</v>
      </c>
    </row>
    <row r="7" spans="1:13">
      <c r="A7" t="s">
        <v>42</v>
      </c>
      <c r="B7" t="s">
        <v>24</v>
      </c>
      <c r="C7" t="s">
        <v>26</v>
      </c>
      <c r="D7">
        <v>1</v>
      </c>
      <c r="E7">
        <v>1</v>
      </c>
      <c r="G7">
        <v>5</v>
      </c>
      <c r="H7" t="s">
        <v>34</v>
      </c>
    </row>
    <row r="8" spans="1:13">
      <c r="A8" t="s">
        <v>44</v>
      </c>
      <c r="B8" t="s">
        <v>24</v>
      </c>
      <c r="C8" t="s">
        <v>25</v>
      </c>
      <c r="D8">
        <v>4</v>
      </c>
      <c r="E8">
        <v>1</v>
      </c>
      <c r="G8">
        <v>6</v>
      </c>
      <c r="H8" t="s">
        <v>37</v>
      </c>
    </row>
    <row r="9" spans="1:13">
      <c r="A9" t="s">
        <v>64</v>
      </c>
      <c r="B9" t="s">
        <v>37</v>
      </c>
      <c r="C9" t="s">
        <v>49</v>
      </c>
      <c r="D9">
        <v>6</v>
      </c>
      <c r="E9">
        <v>1</v>
      </c>
    </row>
    <row r="10" spans="1:13">
      <c r="A10" t="s">
        <v>61</v>
      </c>
      <c r="B10" t="s">
        <v>37</v>
      </c>
      <c r="C10" t="s">
        <v>49</v>
      </c>
      <c r="D10">
        <v>6</v>
      </c>
      <c r="E10">
        <v>1</v>
      </c>
    </row>
    <row r="11" spans="1:13">
      <c r="A11" t="s">
        <v>59</v>
      </c>
      <c r="B11" t="s">
        <v>37</v>
      </c>
      <c r="C11" t="s">
        <v>49</v>
      </c>
      <c r="D11">
        <v>6</v>
      </c>
      <c r="E11">
        <v>1</v>
      </c>
    </row>
    <row r="12" spans="1:13">
      <c r="A12" t="s">
        <v>47</v>
      </c>
      <c r="B12" t="s">
        <v>24</v>
      </c>
      <c r="C12" t="s">
        <v>28</v>
      </c>
      <c r="D12">
        <v>2</v>
      </c>
      <c r="E12">
        <v>1</v>
      </c>
    </row>
    <row r="13" spans="1:13">
      <c r="A13" t="s">
        <v>48</v>
      </c>
      <c r="B13" t="s">
        <v>37</v>
      </c>
      <c r="C13" t="s">
        <v>49</v>
      </c>
      <c r="D13">
        <v>6</v>
      </c>
      <c r="E13">
        <v>1</v>
      </c>
    </row>
    <row r="14" spans="1:13">
      <c r="A14" t="s">
        <v>39</v>
      </c>
      <c r="B14" t="s">
        <v>24</v>
      </c>
      <c r="C14" t="s">
        <v>34</v>
      </c>
      <c r="D14">
        <v>5</v>
      </c>
      <c r="E14">
        <v>1</v>
      </c>
    </row>
    <row r="15" spans="1:13">
      <c r="A15" t="s">
        <v>60</v>
      </c>
      <c r="B15" t="s">
        <v>37</v>
      </c>
      <c r="C15" t="s">
        <v>49</v>
      </c>
      <c r="D15">
        <v>6</v>
      </c>
      <c r="E15">
        <v>1</v>
      </c>
    </row>
    <row r="16" spans="1:13">
      <c r="A16" t="s">
        <v>43</v>
      </c>
      <c r="B16" t="s">
        <v>24</v>
      </c>
      <c r="C16" t="s">
        <v>26</v>
      </c>
      <c r="D16">
        <v>1</v>
      </c>
      <c r="E16">
        <v>1</v>
      </c>
    </row>
    <row r="17" spans="1:9">
      <c r="A17" t="s">
        <v>41</v>
      </c>
      <c r="B17" t="s">
        <v>24</v>
      </c>
      <c r="C17" t="s">
        <v>25</v>
      </c>
      <c r="D17">
        <v>4</v>
      </c>
      <c r="E17">
        <v>1</v>
      </c>
    </row>
    <row r="18" spans="1:9">
      <c r="A18" t="s">
        <v>30</v>
      </c>
      <c r="B18" t="s">
        <v>24</v>
      </c>
      <c r="C18" t="s">
        <v>28</v>
      </c>
      <c r="D18">
        <v>2</v>
      </c>
      <c r="E18">
        <v>1</v>
      </c>
      <c r="I18" t="str">
        <f>IF(M6=1,"Akram Ahmed",IF(M6=2,"Tamara Babaian",IF(M6=3,"Jay Coopridge",0)))</f>
        <v>Akram Ahmed</v>
      </c>
    </row>
    <row r="19" spans="1:9">
      <c r="A19" t="s">
        <v>46</v>
      </c>
      <c r="B19" t="s">
        <v>24</v>
      </c>
      <c r="C19" t="s">
        <v>28</v>
      </c>
      <c r="D19">
        <v>2</v>
      </c>
      <c r="E19">
        <v>1</v>
      </c>
    </row>
    <row r="20" spans="1:9">
      <c r="A20" t="s">
        <v>53</v>
      </c>
      <c r="B20" t="s">
        <v>37</v>
      </c>
      <c r="C20" t="s">
        <v>49</v>
      </c>
      <c r="D20">
        <v>6</v>
      </c>
      <c r="E20">
        <v>1</v>
      </c>
    </row>
    <row r="21" spans="1:9">
      <c r="A21" t="s">
        <v>56</v>
      </c>
      <c r="B21" t="s">
        <v>37</v>
      </c>
      <c r="C21" t="s">
        <v>49</v>
      </c>
      <c r="D21">
        <v>6</v>
      </c>
      <c r="E21">
        <v>1</v>
      </c>
    </row>
    <row r="22" spans="1:9">
      <c r="A22" t="s">
        <v>45</v>
      </c>
      <c r="B22" t="s">
        <v>24</v>
      </c>
      <c r="C22" t="s">
        <v>26</v>
      </c>
      <c r="D22">
        <v>1</v>
      </c>
      <c r="E22">
        <v>1</v>
      </c>
    </row>
    <row r="23" spans="1:9">
      <c r="A23" t="s">
        <v>32</v>
      </c>
      <c r="B23" t="s">
        <v>24</v>
      </c>
      <c r="C23" t="s">
        <v>25</v>
      </c>
      <c r="D23">
        <v>4</v>
      </c>
      <c r="E23">
        <v>1</v>
      </c>
    </row>
    <row r="24" spans="1:9">
      <c r="A24" t="s">
        <v>55</v>
      </c>
      <c r="B24" t="s">
        <v>37</v>
      </c>
      <c r="C24" t="s">
        <v>49</v>
      </c>
      <c r="D24">
        <v>6</v>
      </c>
      <c r="E24">
        <v>1</v>
      </c>
    </row>
    <row r="25" spans="1:9">
      <c r="A25" t="s">
        <v>50</v>
      </c>
      <c r="B25" t="s">
        <v>37</v>
      </c>
      <c r="C25" t="s">
        <v>49</v>
      </c>
      <c r="D25">
        <v>6</v>
      </c>
      <c r="E25">
        <v>1</v>
      </c>
    </row>
    <row r="26" spans="1:9">
      <c r="A26" t="s">
        <v>52</v>
      </c>
      <c r="B26" t="s">
        <v>37</v>
      </c>
      <c r="C26" t="s">
        <v>49</v>
      </c>
      <c r="D26">
        <v>6</v>
      </c>
      <c r="E26">
        <v>1</v>
      </c>
    </row>
    <row r="27" spans="1:9">
      <c r="A27" t="s">
        <v>33</v>
      </c>
      <c r="B27" t="s">
        <v>24</v>
      </c>
      <c r="C27" t="s">
        <v>28</v>
      </c>
      <c r="D27">
        <v>2</v>
      </c>
      <c r="E27">
        <v>1</v>
      </c>
    </row>
    <row r="28" spans="1:9">
      <c r="A28" t="s">
        <v>62</v>
      </c>
      <c r="B28" t="s">
        <v>37</v>
      </c>
      <c r="C28" t="s">
        <v>49</v>
      </c>
      <c r="D28">
        <v>6</v>
      </c>
      <c r="E28">
        <v>1</v>
      </c>
    </row>
    <row r="29" spans="1:9">
      <c r="A29" t="s">
        <v>63</v>
      </c>
      <c r="B29" t="s">
        <v>37</v>
      </c>
      <c r="C29" t="s">
        <v>49</v>
      </c>
      <c r="D29">
        <v>6</v>
      </c>
      <c r="E29">
        <v>1</v>
      </c>
    </row>
    <row r="30" spans="1:9">
      <c r="A30" t="s">
        <v>27</v>
      </c>
      <c r="B30" t="s">
        <v>24</v>
      </c>
      <c r="C30" t="s">
        <v>28</v>
      </c>
      <c r="D30">
        <v>2</v>
      </c>
      <c r="E30">
        <v>1</v>
      </c>
    </row>
    <row r="31" spans="1:9">
      <c r="A31" t="s">
        <v>58</v>
      </c>
      <c r="B31" t="s">
        <v>37</v>
      </c>
      <c r="C31" t="s">
        <v>49</v>
      </c>
      <c r="D31">
        <v>6</v>
      </c>
      <c r="E31">
        <v>1</v>
      </c>
    </row>
    <row r="32" spans="1:9">
      <c r="A32" t="s">
        <v>35</v>
      </c>
      <c r="B32" t="s">
        <v>24</v>
      </c>
      <c r="C32" t="s">
        <v>36</v>
      </c>
      <c r="D32">
        <v>3</v>
      </c>
      <c r="E32">
        <v>1</v>
      </c>
    </row>
    <row r="33" spans="1:5">
      <c r="A33" t="s">
        <v>38</v>
      </c>
      <c r="B33" t="s">
        <v>24</v>
      </c>
      <c r="C33" t="s">
        <v>26</v>
      </c>
      <c r="D33">
        <v>1</v>
      </c>
      <c r="E33">
        <v>1</v>
      </c>
    </row>
    <row r="34" spans="1:5">
      <c r="A34" t="s">
        <v>40</v>
      </c>
      <c r="B34" t="s">
        <v>24</v>
      </c>
      <c r="C34" t="s">
        <v>36</v>
      </c>
      <c r="D34">
        <v>3</v>
      </c>
      <c r="E34">
        <v>1</v>
      </c>
    </row>
  </sheetData>
  <sortState ref="A3:E34">
    <sortCondition ref="A3:A34"/>
  </sortState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Down2">
              <controlPr defaultSize="0" autoLine="0" autoPict="0">
                <anchor moveWithCells="1">
                  <from>
                    <xdr:col>8</xdr:col>
                    <xdr:colOff>133350</xdr:colOff>
                    <xdr:row>14</xdr:row>
                    <xdr:rowOff>0</xdr:rowOff>
                  </from>
                  <to>
                    <xdr:col>10</xdr:col>
                    <xdr:colOff>590550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EC1AE-E95E-41C8-8768-86E148B3D8DE}">
  <sheetPr codeName="Sheet3"/>
  <dimension ref="A1:L999"/>
  <sheetViews>
    <sheetView workbookViewId="0">
      <selection activeCell="G2" sqref="G2:H54"/>
    </sheetView>
  </sheetViews>
  <sheetFormatPr defaultColWidth="12.85546875" defaultRowHeight="15" customHeight="1"/>
  <cols>
    <col min="1" max="1" width="17.7109375" style="5" customWidth="1"/>
    <col min="2" max="2" width="33.7109375" style="5" customWidth="1"/>
    <col min="3" max="3" width="22.42578125" style="5" customWidth="1"/>
    <col min="4" max="4" width="18.42578125" style="5" customWidth="1"/>
    <col min="5" max="5" width="64.85546875" style="5" customWidth="1"/>
    <col min="6" max="6" width="38.140625" style="5" customWidth="1"/>
    <col min="7" max="7" width="7.5703125" style="5" customWidth="1"/>
    <col min="8" max="8" width="26.28515625" style="5" customWidth="1"/>
    <col min="9" max="9" width="27.5703125" style="5" customWidth="1"/>
    <col min="10" max="10" width="21.85546875" style="5" customWidth="1"/>
    <col min="11" max="11" width="28.140625" style="5" customWidth="1"/>
    <col min="12" max="12" width="23.140625" style="5" customWidth="1"/>
    <col min="13" max="26" width="12" style="5" customWidth="1"/>
    <col min="27" max="16384" width="12.85546875" style="5"/>
  </cols>
  <sheetData>
    <row r="1" spans="1:12" ht="15.75" customHeight="1">
      <c r="A1" s="2" t="s">
        <v>65</v>
      </c>
      <c r="B1" s="2" t="s">
        <v>66</v>
      </c>
      <c r="C1" s="2" t="s">
        <v>67</v>
      </c>
      <c r="D1" s="2" t="s">
        <v>68</v>
      </c>
      <c r="E1" s="2" t="s">
        <v>69</v>
      </c>
      <c r="F1" s="2" t="s">
        <v>70</v>
      </c>
      <c r="G1" s="2" t="s">
        <v>71</v>
      </c>
      <c r="H1" s="2" t="s">
        <v>72</v>
      </c>
      <c r="I1" s="2" t="s">
        <v>73</v>
      </c>
      <c r="J1" s="2" t="s">
        <v>74</v>
      </c>
      <c r="K1" s="3" t="s">
        <v>75</v>
      </c>
      <c r="L1" s="4" t="s">
        <v>20</v>
      </c>
    </row>
    <row r="2" spans="1:12" ht="15.75" customHeight="1">
      <c r="A2" s="6">
        <v>10822</v>
      </c>
      <c r="B2" s="6" t="s">
        <v>76</v>
      </c>
      <c r="C2" s="7">
        <v>100</v>
      </c>
      <c r="D2" s="7">
        <v>2</v>
      </c>
      <c r="E2" s="6" t="s">
        <v>77</v>
      </c>
      <c r="F2" s="6" t="s">
        <v>78</v>
      </c>
      <c r="G2" s="6" t="s">
        <v>79</v>
      </c>
      <c r="H2" s="6" t="s">
        <v>15</v>
      </c>
      <c r="I2" s="6" t="s">
        <v>80</v>
      </c>
      <c r="J2" s="6" t="s">
        <v>81</v>
      </c>
      <c r="K2" s="6" t="s">
        <v>82</v>
      </c>
      <c r="L2" s="8" t="s">
        <v>28</v>
      </c>
    </row>
    <row r="3" spans="1:12" ht="15.75" customHeight="1">
      <c r="A3" s="6">
        <v>10079</v>
      </c>
      <c r="B3" s="6" t="s">
        <v>132</v>
      </c>
      <c r="C3" s="10" t="s">
        <v>188</v>
      </c>
      <c r="D3" s="7" t="s">
        <v>123</v>
      </c>
      <c r="E3" s="6" t="s">
        <v>133</v>
      </c>
      <c r="F3" s="6" t="s">
        <v>189</v>
      </c>
      <c r="G3" s="6" t="s">
        <v>79</v>
      </c>
      <c r="H3" s="6" t="s">
        <v>190</v>
      </c>
      <c r="I3" s="6" t="s">
        <v>179</v>
      </c>
      <c r="J3" s="6" t="s">
        <v>191</v>
      </c>
      <c r="K3" s="6" t="s">
        <v>93</v>
      </c>
      <c r="L3" s="8" t="s">
        <v>49</v>
      </c>
    </row>
    <row r="4" spans="1:12" ht="15.75" customHeight="1">
      <c r="A4" s="6">
        <v>10823</v>
      </c>
      <c r="B4" s="6" t="s">
        <v>76</v>
      </c>
      <c r="C4" s="7">
        <v>200</v>
      </c>
      <c r="D4" s="7">
        <v>2</v>
      </c>
      <c r="E4" s="6" t="s">
        <v>77</v>
      </c>
      <c r="F4" s="6" t="s">
        <v>78</v>
      </c>
      <c r="G4" s="6" t="s">
        <v>79</v>
      </c>
      <c r="H4" s="6" t="s">
        <v>16</v>
      </c>
      <c r="I4" s="6" t="s">
        <v>80</v>
      </c>
      <c r="J4" s="6" t="s">
        <v>81</v>
      </c>
      <c r="K4" s="6" t="s">
        <v>82</v>
      </c>
      <c r="L4" s="8" t="s">
        <v>28</v>
      </c>
    </row>
    <row r="5" spans="1:12" ht="15.75" customHeight="1">
      <c r="A5" s="6">
        <v>10062</v>
      </c>
      <c r="B5" s="6" t="s">
        <v>130</v>
      </c>
      <c r="C5" s="10">
        <v>2</v>
      </c>
      <c r="D5" s="7" t="s">
        <v>123</v>
      </c>
      <c r="E5" s="6" t="s">
        <v>131</v>
      </c>
      <c r="F5" s="6" t="s">
        <v>125</v>
      </c>
      <c r="G5" s="6" t="s">
        <v>126</v>
      </c>
      <c r="H5" s="6" t="s">
        <v>127</v>
      </c>
      <c r="I5" s="6" t="s">
        <v>99</v>
      </c>
      <c r="J5" s="6" t="s">
        <v>115</v>
      </c>
      <c r="K5" s="6" t="s">
        <v>82</v>
      </c>
      <c r="L5" s="8" t="s">
        <v>25</v>
      </c>
    </row>
    <row r="6" spans="1:12" ht="15.75" customHeight="1">
      <c r="A6" s="6">
        <v>10953</v>
      </c>
      <c r="B6" s="6" t="s">
        <v>122</v>
      </c>
      <c r="C6" s="10">
        <v>8</v>
      </c>
      <c r="D6" s="7" t="s">
        <v>123</v>
      </c>
      <c r="E6" s="6" t="s">
        <v>124</v>
      </c>
      <c r="F6" s="6" t="s">
        <v>125</v>
      </c>
      <c r="G6" s="6" t="s">
        <v>126</v>
      </c>
      <c r="H6" s="6" t="s">
        <v>127</v>
      </c>
      <c r="I6" s="6" t="s">
        <v>108</v>
      </c>
      <c r="J6" s="6" t="s">
        <v>128</v>
      </c>
      <c r="K6" s="11" t="s">
        <v>129</v>
      </c>
      <c r="L6" s="8" t="s">
        <v>49</v>
      </c>
    </row>
    <row r="7" spans="1:12" ht="15.75" customHeight="1">
      <c r="A7" s="6">
        <v>10075</v>
      </c>
      <c r="B7" s="6" t="s">
        <v>132</v>
      </c>
      <c r="C7" s="10">
        <v>7</v>
      </c>
      <c r="D7" s="7" t="s">
        <v>123</v>
      </c>
      <c r="E7" s="6" t="s">
        <v>133</v>
      </c>
      <c r="F7" s="6" t="s">
        <v>125</v>
      </c>
      <c r="G7" s="6" t="s">
        <v>126</v>
      </c>
      <c r="H7" s="6" t="s">
        <v>127</v>
      </c>
      <c r="I7" s="6" t="s">
        <v>102</v>
      </c>
      <c r="J7" s="6" t="s">
        <v>134</v>
      </c>
      <c r="K7" s="6" t="s">
        <v>82</v>
      </c>
      <c r="L7" s="8" t="s">
        <v>25</v>
      </c>
    </row>
    <row r="8" spans="1:12" ht="15.75" customHeight="1">
      <c r="A8" s="6">
        <v>10046</v>
      </c>
      <c r="B8" s="6" t="s">
        <v>122</v>
      </c>
      <c r="C8" s="10">
        <v>3</v>
      </c>
      <c r="D8" s="7" t="s">
        <v>123</v>
      </c>
      <c r="E8" s="6" t="s">
        <v>135</v>
      </c>
      <c r="F8" s="6" t="s">
        <v>125</v>
      </c>
      <c r="G8" s="6" t="s">
        <v>126</v>
      </c>
      <c r="H8" s="6" t="s">
        <v>136</v>
      </c>
      <c r="I8" s="6" t="s">
        <v>137</v>
      </c>
      <c r="J8" s="6" t="s">
        <v>115</v>
      </c>
      <c r="K8" s="6" t="s">
        <v>82</v>
      </c>
      <c r="L8" s="8" t="s">
        <v>25</v>
      </c>
    </row>
    <row r="9" spans="1:12" ht="15.75" customHeight="1">
      <c r="A9" s="6">
        <v>10055</v>
      </c>
      <c r="B9" s="6" t="s">
        <v>138</v>
      </c>
      <c r="C9" s="10">
        <v>1</v>
      </c>
      <c r="D9" s="7" t="s">
        <v>123</v>
      </c>
      <c r="E9" s="6" t="s">
        <v>139</v>
      </c>
      <c r="F9" s="6" t="s">
        <v>125</v>
      </c>
      <c r="G9" s="6" t="s">
        <v>126</v>
      </c>
      <c r="H9" s="6" t="s">
        <v>136</v>
      </c>
      <c r="I9" s="6" t="s">
        <v>99</v>
      </c>
      <c r="J9" s="6" t="s">
        <v>140</v>
      </c>
      <c r="K9" s="6" t="s">
        <v>82</v>
      </c>
      <c r="L9" s="8" t="s">
        <v>34</v>
      </c>
    </row>
    <row r="10" spans="1:12" ht="15.75" customHeight="1">
      <c r="A10" s="6">
        <v>10081</v>
      </c>
      <c r="B10" s="6" t="s">
        <v>132</v>
      </c>
      <c r="C10" s="10" t="s">
        <v>141</v>
      </c>
      <c r="D10" s="7" t="s">
        <v>123</v>
      </c>
      <c r="E10" s="6" t="s">
        <v>133</v>
      </c>
      <c r="F10" s="6" t="s">
        <v>125</v>
      </c>
      <c r="G10" s="6" t="s">
        <v>126</v>
      </c>
      <c r="H10" s="6" t="s">
        <v>136</v>
      </c>
      <c r="I10" s="6" t="s">
        <v>102</v>
      </c>
      <c r="J10" s="6" t="s">
        <v>134</v>
      </c>
      <c r="K10" s="6" t="s">
        <v>82</v>
      </c>
      <c r="L10" s="8" t="s">
        <v>25</v>
      </c>
    </row>
    <row r="11" spans="1:12" ht="15.75" customHeight="1">
      <c r="A11" s="6">
        <v>10952</v>
      </c>
      <c r="B11" s="6" t="s">
        <v>122</v>
      </c>
      <c r="C11" s="10">
        <v>7</v>
      </c>
      <c r="D11" s="7" t="s">
        <v>123</v>
      </c>
      <c r="E11" s="6" t="s">
        <v>124</v>
      </c>
      <c r="F11" s="6" t="s">
        <v>125</v>
      </c>
      <c r="G11" s="6" t="s">
        <v>126</v>
      </c>
      <c r="H11" s="6" t="s">
        <v>142</v>
      </c>
      <c r="I11" s="6" t="s">
        <v>108</v>
      </c>
      <c r="J11" s="6" t="s">
        <v>128</v>
      </c>
      <c r="K11" s="11" t="s">
        <v>129</v>
      </c>
      <c r="L11" s="8" t="s">
        <v>49</v>
      </c>
    </row>
    <row r="12" spans="1:12" ht="15.75" customHeight="1">
      <c r="A12" s="6">
        <v>10058</v>
      </c>
      <c r="B12" s="6" t="s">
        <v>143</v>
      </c>
      <c r="C12" s="10">
        <v>1</v>
      </c>
      <c r="D12" s="7" t="s">
        <v>123</v>
      </c>
      <c r="E12" s="6" t="s">
        <v>144</v>
      </c>
      <c r="F12" s="6" t="s">
        <v>125</v>
      </c>
      <c r="G12" s="6" t="s">
        <v>126</v>
      </c>
      <c r="H12" s="6" t="s">
        <v>142</v>
      </c>
      <c r="I12" s="6" t="s">
        <v>145</v>
      </c>
      <c r="J12" s="6" t="s">
        <v>121</v>
      </c>
      <c r="K12" s="6" t="s">
        <v>82</v>
      </c>
      <c r="L12" s="8" t="s">
        <v>28</v>
      </c>
    </row>
    <row r="13" spans="1:12" ht="15.75" customHeight="1">
      <c r="A13" s="6">
        <v>10057</v>
      </c>
      <c r="B13" s="6" t="s">
        <v>138</v>
      </c>
      <c r="C13" s="10">
        <v>3</v>
      </c>
      <c r="D13" s="7" t="s">
        <v>123</v>
      </c>
      <c r="E13" s="6" t="s">
        <v>139</v>
      </c>
      <c r="F13" s="6" t="s">
        <v>125</v>
      </c>
      <c r="G13" s="6" t="s">
        <v>126</v>
      </c>
      <c r="H13" s="6" t="s">
        <v>142</v>
      </c>
      <c r="I13" s="6" t="s">
        <v>99</v>
      </c>
      <c r="J13" s="6" t="s">
        <v>140</v>
      </c>
      <c r="K13" s="6" t="s">
        <v>82</v>
      </c>
      <c r="L13" s="8" t="s">
        <v>34</v>
      </c>
    </row>
    <row r="14" spans="1:12" ht="15.75" customHeight="1">
      <c r="A14" s="6">
        <v>10936</v>
      </c>
      <c r="B14" s="6" t="s">
        <v>149</v>
      </c>
      <c r="C14" s="10">
        <v>2</v>
      </c>
      <c r="D14" s="7" t="s">
        <v>123</v>
      </c>
      <c r="E14" s="6" t="s">
        <v>150</v>
      </c>
      <c r="F14" s="6" t="s">
        <v>125</v>
      </c>
      <c r="G14" s="6" t="s">
        <v>147</v>
      </c>
      <c r="H14" s="6" t="s">
        <v>148</v>
      </c>
      <c r="I14" s="6" t="s">
        <v>99</v>
      </c>
      <c r="J14" s="6" t="s">
        <v>151</v>
      </c>
      <c r="K14" s="6" t="s">
        <v>82</v>
      </c>
      <c r="L14" s="8" t="s">
        <v>25</v>
      </c>
    </row>
    <row r="15" spans="1:12" ht="15.75" customHeight="1">
      <c r="A15" s="6">
        <v>10076</v>
      </c>
      <c r="B15" s="6" t="s">
        <v>152</v>
      </c>
      <c r="C15" s="10">
        <v>8</v>
      </c>
      <c r="D15" s="7" t="s">
        <v>123</v>
      </c>
      <c r="E15" s="6" t="s">
        <v>133</v>
      </c>
      <c r="F15" s="6" t="s">
        <v>125</v>
      </c>
      <c r="G15" s="6" t="s">
        <v>147</v>
      </c>
      <c r="H15" s="6" t="s">
        <v>148</v>
      </c>
      <c r="I15" s="6" t="s">
        <v>120</v>
      </c>
      <c r="J15" s="6" t="s">
        <v>153</v>
      </c>
      <c r="K15" s="6" t="s">
        <v>93</v>
      </c>
      <c r="L15" s="8" t="s">
        <v>49</v>
      </c>
    </row>
    <row r="16" spans="1:12" ht="15.75" customHeight="1">
      <c r="A16" s="6">
        <v>10048</v>
      </c>
      <c r="B16" s="6" t="s">
        <v>146</v>
      </c>
      <c r="C16" s="10">
        <v>5</v>
      </c>
      <c r="D16" s="7" t="s">
        <v>123</v>
      </c>
      <c r="E16" s="6" t="s">
        <v>135</v>
      </c>
      <c r="F16" s="6" t="s">
        <v>125</v>
      </c>
      <c r="G16" s="6" t="s">
        <v>147</v>
      </c>
      <c r="H16" s="6" t="s">
        <v>148</v>
      </c>
      <c r="I16" s="6" t="s">
        <v>108</v>
      </c>
      <c r="J16" s="6" t="s">
        <v>106</v>
      </c>
      <c r="K16" s="6" t="s">
        <v>82</v>
      </c>
      <c r="L16" s="8" t="s">
        <v>25</v>
      </c>
    </row>
    <row r="17" spans="1:12" ht="15.75" customHeight="1">
      <c r="A17" s="6">
        <v>10082</v>
      </c>
      <c r="B17" s="6" t="s">
        <v>132</v>
      </c>
      <c r="C17" s="10" t="s">
        <v>154</v>
      </c>
      <c r="D17" s="7" t="s">
        <v>123</v>
      </c>
      <c r="E17" s="6" t="s">
        <v>133</v>
      </c>
      <c r="F17" s="6" t="s">
        <v>125</v>
      </c>
      <c r="G17" s="6" t="s">
        <v>147</v>
      </c>
      <c r="H17" s="6" t="s">
        <v>148</v>
      </c>
      <c r="I17" s="6" t="s">
        <v>102</v>
      </c>
      <c r="J17" s="6" t="s">
        <v>134</v>
      </c>
      <c r="K17" s="6" t="s">
        <v>82</v>
      </c>
      <c r="L17" s="8" t="s">
        <v>25</v>
      </c>
    </row>
    <row r="18" spans="1:12" ht="15.75" customHeight="1">
      <c r="A18" s="6">
        <v>10078</v>
      </c>
      <c r="B18" s="6" t="s">
        <v>132</v>
      </c>
      <c r="C18" s="10">
        <v>10</v>
      </c>
      <c r="D18" s="7" t="s">
        <v>123</v>
      </c>
      <c r="E18" s="6" t="s">
        <v>133</v>
      </c>
      <c r="F18" s="6" t="s">
        <v>125</v>
      </c>
      <c r="G18" s="6" t="s">
        <v>147</v>
      </c>
      <c r="H18" s="6" t="s">
        <v>155</v>
      </c>
      <c r="I18" s="6" t="s">
        <v>157</v>
      </c>
      <c r="J18" s="6" t="s">
        <v>158</v>
      </c>
      <c r="K18" s="11" t="s">
        <v>93</v>
      </c>
      <c r="L18" s="8" t="s">
        <v>49</v>
      </c>
    </row>
    <row r="19" spans="1:12" ht="15.75" customHeight="1">
      <c r="A19" s="6">
        <v>10937</v>
      </c>
      <c r="B19" s="6" t="s">
        <v>149</v>
      </c>
      <c r="C19" s="10">
        <v>3</v>
      </c>
      <c r="D19" s="7" t="s">
        <v>123</v>
      </c>
      <c r="E19" s="6" t="s">
        <v>150</v>
      </c>
      <c r="F19" s="6" t="s">
        <v>125</v>
      </c>
      <c r="G19" s="6" t="s">
        <v>147</v>
      </c>
      <c r="H19" s="6" t="s">
        <v>155</v>
      </c>
      <c r="I19" s="6" t="s">
        <v>156</v>
      </c>
      <c r="J19" s="6" t="s">
        <v>151</v>
      </c>
      <c r="K19" s="6" t="s">
        <v>82</v>
      </c>
      <c r="L19" s="8" t="s">
        <v>25</v>
      </c>
    </row>
    <row r="20" spans="1:12" ht="15.75" customHeight="1">
      <c r="A20" s="6">
        <v>10069</v>
      </c>
      <c r="B20" s="6" t="s">
        <v>132</v>
      </c>
      <c r="C20" s="10">
        <v>1</v>
      </c>
      <c r="D20" s="7" t="s">
        <v>123</v>
      </c>
      <c r="E20" s="6" t="s">
        <v>133</v>
      </c>
      <c r="F20" s="6" t="s">
        <v>125</v>
      </c>
      <c r="G20" s="6" t="s">
        <v>147</v>
      </c>
      <c r="H20" s="6" t="s">
        <v>159</v>
      </c>
      <c r="I20" s="6" t="s">
        <v>91</v>
      </c>
      <c r="J20" s="6" t="s">
        <v>160</v>
      </c>
      <c r="K20" s="6" t="s">
        <v>93</v>
      </c>
      <c r="L20" s="8" t="s">
        <v>49</v>
      </c>
    </row>
    <row r="21" spans="1:12" ht="15.75" customHeight="1">
      <c r="A21" s="6">
        <v>10044</v>
      </c>
      <c r="B21" s="6" t="s">
        <v>146</v>
      </c>
      <c r="C21" s="10">
        <v>1</v>
      </c>
      <c r="D21" s="7" t="s">
        <v>123</v>
      </c>
      <c r="E21" s="6" t="s">
        <v>135</v>
      </c>
      <c r="F21" s="6" t="s">
        <v>125</v>
      </c>
      <c r="G21" s="6" t="s">
        <v>147</v>
      </c>
      <c r="H21" s="6" t="s">
        <v>161</v>
      </c>
      <c r="I21" s="6" t="s">
        <v>137</v>
      </c>
      <c r="J21" s="6" t="s">
        <v>115</v>
      </c>
      <c r="K21" s="6" t="s">
        <v>82</v>
      </c>
      <c r="L21" s="8" t="s">
        <v>25</v>
      </c>
    </row>
    <row r="22" spans="1:12" ht="15.75" customHeight="1">
      <c r="A22" s="6">
        <v>10071</v>
      </c>
      <c r="B22" s="6" t="s">
        <v>132</v>
      </c>
      <c r="C22" s="10">
        <v>3</v>
      </c>
      <c r="D22" s="7" t="s">
        <v>123</v>
      </c>
      <c r="E22" s="6" t="s">
        <v>133</v>
      </c>
      <c r="F22" s="6" t="s">
        <v>125</v>
      </c>
      <c r="G22" s="6" t="s">
        <v>147</v>
      </c>
      <c r="H22" s="6" t="s">
        <v>161</v>
      </c>
      <c r="I22" s="6" t="s">
        <v>157</v>
      </c>
      <c r="J22" s="6" t="s">
        <v>162</v>
      </c>
      <c r="K22" s="11" t="s">
        <v>93</v>
      </c>
      <c r="L22" s="8" t="s">
        <v>49</v>
      </c>
    </row>
    <row r="23" spans="1:12" ht="15.75" customHeight="1">
      <c r="A23" s="6">
        <v>10080</v>
      </c>
      <c r="B23" s="6" t="s">
        <v>132</v>
      </c>
      <c r="C23" s="10" t="s">
        <v>163</v>
      </c>
      <c r="D23" s="7" t="s">
        <v>123</v>
      </c>
      <c r="E23" s="6" t="s">
        <v>164</v>
      </c>
      <c r="F23" s="6" t="s">
        <v>125</v>
      </c>
      <c r="G23" s="6" t="s">
        <v>147</v>
      </c>
      <c r="H23" s="6" t="s">
        <v>161</v>
      </c>
      <c r="I23" s="6" t="s">
        <v>99</v>
      </c>
      <c r="J23" s="6" t="s">
        <v>151</v>
      </c>
      <c r="K23" s="6" t="s">
        <v>82</v>
      </c>
      <c r="L23" s="8" t="s">
        <v>25</v>
      </c>
    </row>
    <row r="24" spans="1:12" ht="15.75" customHeight="1">
      <c r="A24" s="6">
        <v>10827</v>
      </c>
      <c r="B24" s="6" t="s">
        <v>83</v>
      </c>
      <c r="C24" s="7" t="s">
        <v>84</v>
      </c>
      <c r="D24" s="7">
        <v>2</v>
      </c>
      <c r="E24" s="6" t="s">
        <v>85</v>
      </c>
      <c r="F24" s="6" t="s">
        <v>78</v>
      </c>
      <c r="G24" s="6" t="s">
        <v>86</v>
      </c>
      <c r="H24" s="6" t="s">
        <v>15</v>
      </c>
      <c r="I24" s="6" t="s">
        <v>87</v>
      </c>
      <c r="J24" s="6" t="s">
        <v>88</v>
      </c>
      <c r="K24" s="6" t="s">
        <v>82</v>
      </c>
      <c r="L24" s="8" t="s">
        <v>26</v>
      </c>
    </row>
    <row r="25" spans="1:12" ht="15.75" customHeight="1">
      <c r="A25" s="6">
        <v>10054</v>
      </c>
      <c r="B25" s="6" t="s">
        <v>168</v>
      </c>
      <c r="C25" s="10" t="s">
        <v>188</v>
      </c>
      <c r="D25" s="7" t="s">
        <v>193</v>
      </c>
      <c r="E25" s="6" t="s">
        <v>169</v>
      </c>
      <c r="F25" s="6" t="s">
        <v>189</v>
      </c>
      <c r="G25" s="6" t="s">
        <v>86</v>
      </c>
      <c r="H25" s="6" t="s">
        <v>190</v>
      </c>
      <c r="I25" s="6" t="s">
        <v>137</v>
      </c>
      <c r="J25" s="6" t="s">
        <v>195</v>
      </c>
      <c r="K25" s="6" t="s">
        <v>93</v>
      </c>
      <c r="L25" s="8" t="s">
        <v>49</v>
      </c>
    </row>
    <row r="26" spans="1:12" ht="15.75" customHeight="1">
      <c r="A26" s="6">
        <v>10051</v>
      </c>
      <c r="B26" s="6" t="s">
        <v>122</v>
      </c>
      <c r="C26" s="10" t="s">
        <v>192</v>
      </c>
      <c r="D26" s="7" t="s">
        <v>193</v>
      </c>
      <c r="E26" s="6" t="s">
        <v>135</v>
      </c>
      <c r="F26" s="6" t="s">
        <v>189</v>
      </c>
      <c r="G26" s="6" t="s">
        <v>86</v>
      </c>
      <c r="H26" s="6" t="s">
        <v>190</v>
      </c>
      <c r="I26" s="6" t="s">
        <v>157</v>
      </c>
      <c r="J26" s="6" t="s">
        <v>194</v>
      </c>
      <c r="K26" s="6" t="s">
        <v>93</v>
      </c>
      <c r="L26" s="8" t="s">
        <v>49</v>
      </c>
    </row>
    <row r="27" spans="1:12" ht="15.75" customHeight="1">
      <c r="A27" s="17" t="s">
        <v>201</v>
      </c>
      <c r="B27" s="6" t="s">
        <v>116</v>
      </c>
      <c r="C27" s="7" t="s">
        <v>117</v>
      </c>
      <c r="D27" s="7">
        <v>2</v>
      </c>
      <c r="E27" s="6" t="s">
        <v>118</v>
      </c>
      <c r="F27" s="6" t="s">
        <v>119</v>
      </c>
      <c r="G27" s="6" t="s">
        <v>86</v>
      </c>
      <c r="H27" s="6" t="s">
        <v>16</v>
      </c>
      <c r="I27" s="6" t="s">
        <v>120</v>
      </c>
      <c r="J27" s="6" t="s">
        <v>121</v>
      </c>
      <c r="K27" s="6" t="s">
        <v>82</v>
      </c>
      <c r="L27" s="8" t="s">
        <v>28</v>
      </c>
    </row>
    <row r="28" spans="1:12" ht="15.75" customHeight="1">
      <c r="A28" s="6">
        <v>10821</v>
      </c>
      <c r="B28" s="6" t="s">
        <v>89</v>
      </c>
      <c r="C28" s="7">
        <v>200</v>
      </c>
      <c r="D28" s="7">
        <v>2</v>
      </c>
      <c r="E28" s="6" t="s">
        <v>90</v>
      </c>
      <c r="F28" s="6" t="s">
        <v>78</v>
      </c>
      <c r="G28" s="6" t="s">
        <v>86</v>
      </c>
      <c r="H28" s="6" t="s">
        <v>16</v>
      </c>
      <c r="I28" s="6" t="s">
        <v>91</v>
      </c>
      <c r="J28" s="6" t="s">
        <v>92</v>
      </c>
      <c r="K28" s="6" t="s">
        <v>93</v>
      </c>
      <c r="L28" s="8" t="s">
        <v>49</v>
      </c>
    </row>
    <row r="29" spans="1:12" ht="15.75" customHeight="1">
      <c r="A29" s="6">
        <v>10061</v>
      </c>
      <c r="B29" s="6" t="s">
        <v>165</v>
      </c>
      <c r="C29" s="10">
        <v>1</v>
      </c>
      <c r="D29" s="7" t="s">
        <v>123</v>
      </c>
      <c r="E29" s="6" t="s">
        <v>131</v>
      </c>
      <c r="F29" s="6" t="s">
        <v>125</v>
      </c>
      <c r="G29" s="6" t="s">
        <v>86</v>
      </c>
      <c r="H29" s="6" t="s">
        <v>166</v>
      </c>
      <c r="I29" s="6" t="s">
        <v>99</v>
      </c>
      <c r="J29" s="6" t="s">
        <v>115</v>
      </c>
      <c r="K29" s="6" t="s">
        <v>82</v>
      </c>
      <c r="L29" s="8" t="s">
        <v>25</v>
      </c>
    </row>
    <row r="30" spans="1:12" ht="15.75" customHeight="1">
      <c r="A30" s="6">
        <v>10826</v>
      </c>
      <c r="B30" s="6" t="s">
        <v>94</v>
      </c>
      <c r="C30" s="7">
        <v>100</v>
      </c>
      <c r="D30" s="7">
        <v>2</v>
      </c>
      <c r="E30" s="6" t="s">
        <v>95</v>
      </c>
      <c r="F30" s="6" t="s">
        <v>78</v>
      </c>
      <c r="G30" s="6" t="s">
        <v>96</v>
      </c>
      <c r="H30" s="6" t="s">
        <v>15</v>
      </c>
      <c r="I30" s="6" t="s">
        <v>91</v>
      </c>
      <c r="J30" s="6" t="s">
        <v>88</v>
      </c>
      <c r="K30" s="6" t="s">
        <v>82</v>
      </c>
      <c r="L30" s="8" t="s">
        <v>26</v>
      </c>
    </row>
    <row r="31" spans="1:12" ht="15.75" customHeight="1">
      <c r="A31" s="6">
        <v>10050</v>
      </c>
      <c r="B31" s="6" t="s">
        <v>122</v>
      </c>
      <c r="C31" s="10" t="s">
        <v>188</v>
      </c>
      <c r="D31" s="7" t="s">
        <v>193</v>
      </c>
      <c r="E31" s="6" t="s">
        <v>135</v>
      </c>
      <c r="F31" s="6" t="s">
        <v>189</v>
      </c>
      <c r="G31" s="6" t="s">
        <v>96</v>
      </c>
      <c r="H31" s="6" t="s">
        <v>190</v>
      </c>
      <c r="I31" s="6" t="s">
        <v>102</v>
      </c>
      <c r="J31" s="6" t="s">
        <v>196</v>
      </c>
      <c r="K31" s="6" t="s">
        <v>93</v>
      </c>
      <c r="L31" s="8" t="s">
        <v>49</v>
      </c>
    </row>
    <row r="32" spans="1:12" ht="15.75" customHeight="1">
      <c r="A32" s="6">
        <v>10063</v>
      </c>
      <c r="B32" s="6" t="s">
        <v>165</v>
      </c>
      <c r="C32" s="10" t="s">
        <v>188</v>
      </c>
      <c r="D32" s="7" t="s">
        <v>193</v>
      </c>
      <c r="E32" s="6" t="s">
        <v>131</v>
      </c>
      <c r="F32" s="6" t="s">
        <v>189</v>
      </c>
      <c r="G32" s="6" t="s">
        <v>96</v>
      </c>
      <c r="H32" s="6" t="s">
        <v>190</v>
      </c>
      <c r="I32" s="6" t="s">
        <v>197</v>
      </c>
      <c r="J32" s="6" t="s">
        <v>178</v>
      </c>
      <c r="K32" s="6" t="s">
        <v>82</v>
      </c>
      <c r="L32" s="8" t="s">
        <v>28</v>
      </c>
    </row>
    <row r="33" spans="1:12" ht="15.75" customHeight="1">
      <c r="A33" s="6">
        <v>10828</v>
      </c>
      <c r="B33" s="6" t="s">
        <v>97</v>
      </c>
      <c r="C33" s="7" t="s">
        <v>84</v>
      </c>
      <c r="D33" s="7">
        <v>2</v>
      </c>
      <c r="E33" s="6" t="s">
        <v>98</v>
      </c>
      <c r="F33" s="6" t="s">
        <v>78</v>
      </c>
      <c r="G33" s="6" t="s">
        <v>96</v>
      </c>
      <c r="H33" s="6" t="s">
        <v>16</v>
      </c>
      <c r="I33" s="6" t="s">
        <v>99</v>
      </c>
      <c r="J33" s="6" t="s">
        <v>100</v>
      </c>
      <c r="K33" s="6" t="s">
        <v>82</v>
      </c>
      <c r="L33" s="8" t="s">
        <v>26</v>
      </c>
    </row>
    <row r="34" spans="1:12" ht="15.75" customHeight="1">
      <c r="A34" s="6">
        <v>10072</v>
      </c>
      <c r="B34" s="6" t="s">
        <v>132</v>
      </c>
      <c r="C34" s="10">
        <v>4</v>
      </c>
      <c r="D34" s="7" t="s">
        <v>123</v>
      </c>
      <c r="E34" s="6" t="s">
        <v>133</v>
      </c>
      <c r="F34" s="6" t="s">
        <v>125</v>
      </c>
      <c r="G34" s="6" t="s">
        <v>167</v>
      </c>
      <c r="H34" s="6" t="s">
        <v>161</v>
      </c>
      <c r="I34" s="6" t="s">
        <v>157</v>
      </c>
      <c r="J34" s="6" t="s">
        <v>153</v>
      </c>
      <c r="K34" s="6" t="s">
        <v>93</v>
      </c>
      <c r="L34" s="8" t="s">
        <v>49</v>
      </c>
    </row>
    <row r="35" spans="1:12" ht="15.75" customHeight="1">
      <c r="A35" s="6">
        <v>10045</v>
      </c>
      <c r="B35" s="6" t="s">
        <v>146</v>
      </c>
      <c r="C35" s="10">
        <v>2</v>
      </c>
      <c r="D35" s="7" t="s">
        <v>123</v>
      </c>
      <c r="E35" s="6" t="s">
        <v>135</v>
      </c>
      <c r="F35" s="6" t="s">
        <v>125</v>
      </c>
      <c r="G35" s="6" t="s">
        <v>167</v>
      </c>
      <c r="H35" s="6" t="s">
        <v>161</v>
      </c>
      <c r="I35" s="6" t="s">
        <v>99</v>
      </c>
      <c r="J35" s="6" t="s">
        <v>140</v>
      </c>
      <c r="K35" s="6" t="s">
        <v>82</v>
      </c>
      <c r="L35" s="8" t="s">
        <v>34</v>
      </c>
    </row>
    <row r="36" spans="1:12" ht="15.75" customHeight="1">
      <c r="A36" s="6">
        <v>10052</v>
      </c>
      <c r="B36" s="6" t="s">
        <v>168</v>
      </c>
      <c r="C36" s="10">
        <v>1</v>
      </c>
      <c r="D36" s="7" t="s">
        <v>123</v>
      </c>
      <c r="E36" s="6" t="s">
        <v>169</v>
      </c>
      <c r="F36" s="6" t="s">
        <v>125</v>
      </c>
      <c r="G36" s="6" t="s">
        <v>167</v>
      </c>
      <c r="H36" s="6" t="s">
        <v>161</v>
      </c>
      <c r="I36" s="6" t="s">
        <v>91</v>
      </c>
      <c r="J36" s="6" t="s">
        <v>170</v>
      </c>
      <c r="K36" s="6" t="s">
        <v>82</v>
      </c>
      <c r="L36" s="8" t="s">
        <v>28</v>
      </c>
    </row>
    <row r="37" spans="1:12" ht="15.75" customHeight="1">
      <c r="A37" s="6">
        <v>10067</v>
      </c>
      <c r="B37" s="6" t="s">
        <v>171</v>
      </c>
      <c r="C37" s="10">
        <v>1</v>
      </c>
      <c r="D37" s="7" t="s">
        <v>123</v>
      </c>
      <c r="E37" s="6" t="s">
        <v>172</v>
      </c>
      <c r="F37" s="6" t="s">
        <v>125</v>
      </c>
      <c r="G37" s="6" t="s">
        <v>167</v>
      </c>
      <c r="H37" s="6" t="s">
        <v>161</v>
      </c>
      <c r="I37" s="6" t="s">
        <v>102</v>
      </c>
      <c r="J37" s="6" t="s">
        <v>173</v>
      </c>
      <c r="K37" s="6" t="s">
        <v>82</v>
      </c>
      <c r="L37" s="8" t="s">
        <v>28</v>
      </c>
    </row>
    <row r="38" spans="1:12" ht="15.75" customHeight="1">
      <c r="A38" s="6">
        <v>10056</v>
      </c>
      <c r="B38" s="6" t="s">
        <v>138</v>
      </c>
      <c r="C38" s="10">
        <v>2</v>
      </c>
      <c r="D38" s="7" t="s">
        <v>123</v>
      </c>
      <c r="E38" s="6" t="s">
        <v>139</v>
      </c>
      <c r="F38" s="6" t="s">
        <v>125</v>
      </c>
      <c r="G38" s="6" t="s">
        <v>167</v>
      </c>
      <c r="H38" s="6" t="s">
        <v>136</v>
      </c>
      <c r="I38" s="6" t="s">
        <v>99</v>
      </c>
      <c r="J38" s="6" t="s">
        <v>140</v>
      </c>
      <c r="K38" s="6" t="s">
        <v>82</v>
      </c>
      <c r="L38" s="8" t="s">
        <v>34</v>
      </c>
    </row>
    <row r="39" spans="1:12" ht="15.75" customHeight="1">
      <c r="A39" s="6">
        <v>10053</v>
      </c>
      <c r="B39" s="6" t="s">
        <v>168</v>
      </c>
      <c r="C39" s="10">
        <v>2</v>
      </c>
      <c r="D39" s="7" t="s">
        <v>123</v>
      </c>
      <c r="E39" s="6" t="s">
        <v>169</v>
      </c>
      <c r="F39" s="6" t="s">
        <v>125</v>
      </c>
      <c r="G39" s="6" t="s">
        <v>167</v>
      </c>
      <c r="H39" s="6" t="s">
        <v>136</v>
      </c>
      <c r="I39" s="6" t="s">
        <v>91</v>
      </c>
      <c r="J39" s="6" t="s">
        <v>170</v>
      </c>
      <c r="K39" s="6" t="s">
        <v>82</v>
      </c>
      <c r="L39" s="8" t="s">
        <v>28</v>
      </c>
    </row>
    <row r="40" spans="1:12" ht="15.75" customHeight="1">
      <c r="A40" s="6">
        <v>10073</v>
      </c>
      <c r="B40" s="6" t="s">
        <v>132</v>
      </c>
      <c r="C40" s="10">
        <v>5</v>
      </c>
      <c r="D40" s="7" t="s">
        <v>123</v>
      </c>
      <c r="E40" s="6" t="s">
        <v>133</v>
      </c>
      <c r="F40" s="6" t="s">
        <v>125</v>
      </c>
      <c r="G40" s="6" t="s">
        <v>167</v>
      </c>
      <c r="H40" s="6" t="s">
        <v>136</v>
      </c>
      <c r="I40" s="6" t="s">
        <v>179</v>
      </c>
      <c r="J40" s="6" t="s">
        <v>180</v>
      </c>
      <c r="K40" s="6" t="s">
        <v>93</v>
      </c>
      <c r="L40" s="8" t="s">
        <v>49</v>
      </c>
    </row>
    <row r="41" spans="1:12" ht="15.75" customHeight="1">
      <c r="A41" s="6">
        <v>10047</v>
      </c>
      <c r="B41" s="6" t="s">
        <v>122</v>
      </c>
      <c r="C41" s="10">
        <v>4</v>
      </c>
      <c r="D41" s="7" t="s">
        <v>123</v>
      </c>
      <c r="E41" s="6" t="s">
        <v>135</v>
      </c>
      <c r="F41" s="6" t="s">
        <v>125</v>
      </c>
      <c r="G41" s="6" t="s">
        <v>167</v>
      </c>
      <c r="H41" s="6" t="s">
        <v>136</v>
      </c>
      <c r="I41" s="6" t="s">
        <v>174</v>
      </c>
      <c r="J41" s="6" t="s">
        <v>175</v>
      </c>
      <c r="K41" s="6" t="s">
        <v>93</v>
      </c>
      <c r="L41" s="8" t="s">
        <v>49</v>
      </c>
    </row>
    <row r="42" spans="1:12" ht="15.75" customHeight="1">
      <c r="A42" s="6">
        <v>10060</v>
      </c>
      <c r="B42" s="6" t="s">
        <v>149</v>
      </c>
      <c r="C42" s="10">
        <v>1</v>
      </c>
      <c r="D42" s="7" t="s">
        <v>123</v>
      </c>
      <c r="E42" s="6" t="s">
        <v>176</v>
      </c>
      <c r="F42" s="6" t="s">
        <v>125</v>
      </c>
      <c r="G42" s="6" t="s">
        <v>167</v>
      </c>
      <c r="H42" s="6" t="s">
        <v>136</v>
      </c>
      <c r="I42" s="6" t="s">
        <v>177</v>
      </c>
      <c r="J42" s="6" t="s">
        <v>178</v>
      </c>
      <c r="K42" s="6" t="s">
        <v>82</v>
      </c>
      <c r="L42" s="8" t="s">
        <v>28</v>
      </c>
    </row>
    <row r="43" spans="1:12" ht="15.75" customHeight="1">
      <c r="A43" s="6">
        <v>10074</v>
      </c>
      <c r="B43" s="6" t="s">
        <v>132</v>
      </c>
      <c r="C43" s="10">
        <v>6</v>
      </c>
      <c r="D43" s="7" t="s">
        <v>123</v>
      </c>
      <c r="E43" s="6" t="s">
        <v>133</v>
      </c>
      <c r="F43" s="6" t="s">
        <v>125</v>
      </c>
      <c r="G43" s="6" t="s">
        <v>167</v>
      </c>
      <c r="H43" s="6" t="s">
        <v>142</v>
      </c>
      <c r="I43" s="6" t="s">
        <v>179</v>
      </c>
      <c r="J43" s="6" t="s">
        <v>180</v>
      </c>
      <c r="K43" s="6" t="s">
        <v>93</v>
      </c>
      <c r="L43" s="8" t="s">
        <v>49</v>
      </c>
    </row>
    <row r="44" spans="1:12" ht="15.75" customHeight="1">
      <c r="A44" s="6">
        <v>10059</v>
      </c>
      <c r="B44" s="6" t="s">
        <v>143</v>
      </c>
      <c r="C44" s="10">
        <v>2</v>
      </c>
      <c r="D44" s="7" t="s">
        <v>123</v>
      </c>
      <c r="E44" s="6" t="s">
        <v>144</v>
      </c>
      <c r="F44" s="6" t="s">
        <v>125</v>
      </c>
      <c r="G44" s="6" t="s">
        <v>167</v>
      </c>
      <c r="H44" s="6" t="s">
        <v>142</v>
      </c>
      <c r="I44" s="6" t="s">
        <v>157</v>
      </c>
      <c r="J44" s="6" t="s">
        <v>173</v>
      </c>
      <c r="K44" s="6" t="s">
        <v>82</v>
      </c>
      <c r="L44" s="8" t="s">
        <v>28</v>
      </c>
    </row>
    <row r="45" spans="1:12" ht="15.75" customHeight="1">
      <c r="A45" s="6">
        <v>10049</v>
      </c>
      <c r="B45" s="6" t="s">
        <v>122</v>
      </c>
      <c r="C45" s="10">
        <v>6</v>
      </c>
      <c r="D45" s="7" t="s">
        <v>123</v>
      </c>
      <c r="E45" s="6" t="s">
        <v>135</v>
      </c>
      <c r="F45" s="6" t="s">
        <v>125</v>
      </c>
      <c r="G45" s="6" t="s">
        <v>181</v>
      </c>
      <c r="H45" s="6" t="s">
        <v>148</v>
      </c>
      <c r="I45" s="6" t="s">
        <v>99</v>
      </c>
      <c r="J45" s="6" t="s">
        <v>106</v>
      </c>
      <c r="K45" s="6" t="s">
        <v>82</v>
      </c>
      <c r="L45" s="8" t="s">
        <v>25</v>
      </c>
    </row>
    <row r="46" spans="1:12" ht="15.75" customHeight="1">
      <c r="A46" s="6">
        <v>10077</v>
      </c>
      <c r="B46" s="6" t="s">
        <v>132</v>
      </c>
      <c r="C46" s="10">
        <v>9</v>
      </c>
      <c r="D46" s="7" t="s">
        <v>123</v>
      </c>
      <c r="E46" s="6" t="s">
        <v>133</v>
      </c>
      <c r="F46" s="6" t="s">
        <v>125</v>
      </c>
      <c r="G46" s="6" t="s">
        <v>181</v>
      </c>
      <c r="H46" s="6" t="s">
        <v>148</v>
      </c>
      <c r="I46" s="6" t="s">
        <v>102</v>
      </c>
      <c r="J46" s="6" t="s">
        <v>134</v>
      </c>
      <c r="K46" s="6" t="s">
        <v>82</v>
      </c>
      <c r="L46" s="8" t="s">
        <v>25</v>
      </c>
    </row>
    <row r="47" spans="1:12" ht="15.75" customHeight="1">
      <c r="A47" s="6">
        <v>10068</v>
      </c>
      <c r="B47" s="6" t="s">
        <v>182</v>
      </c>
      <c r="C47" s="10">
        <v>1</v>
      </c>
      <c r="D47" s="7" t="s">
        <v>123</v>
      </c>
      <c r="E47" s="6" t="s">
        <v>183</v>
      </c>
      <c r="F47" s="6" t="s">
        <v>125</v>
      </c>
      <c r="G47" s="6" t="s">
        <v>181</v>
      </c>
      <c r="H47" s="6" t="s">
        <v>155</v>
      </c>
      <c r="I47" s="6" t="s">
        <v>99</v>
      </c>
      <c r="J47" s="6" t="s">
        <v>106</v>
      </c>
      <c r="K47" s="6" t="s">
        <v>82</v>
      </c>
      <c r="L47" s="8" t="s">
        <v>25</v>
      </c>
    </row>
    <row r="48" spans="1:12" ht="15.75" customHeight="1">
      <c r="A48" s="6">
        <v>10820</v>
      </c>
      <c r="B48" s="6" t="s">
        <v>89</v>
      </c>
      <c r="C48" s="7">
        <v>100</v>
      </c>
      <c r="D48" s="7">
        <v>2</v>
      </c>
      <c r="E48" s="6" t="s">
        <v>90</v>
      </c>
      <c r="F48" s="6" t="s">
        <v>78</v>
      </c>
      <c r="G48" s="6" t="s">
        <v>101</v>
      </c>
      <c r="H48" s="6" t="s">
        <v>15</v>
      </c>
      <c r="I48" s="6" t="s">
        <v>102</v>
      </c>
      <c r="J48" s="9" t="s">
        <v>103</v>
      </c>
      <c r="K48" s="6" t="s">
        <v>82</v>
      </c>
      <c r="L48" s="8" t="s">
        <v>26</v>
      </c>
    </row>
    <row r="49" spans="1:12" ht="15.75" customHeight="1">
      <c r="A49" s="6">
        <v>10830</v>
      </c>
      <c r="B49" s="6" t="s">
        <v>104</v>
      </c>
      <c r="C49" s="7">
        <v>100</v>
      </c>
      <c r="D49" s="7">
        <v>2</v>
      </c>
      <c r="E49" s="6" t="s">
        <v>105</v>
      </c>
      <c r="F49" s="6" t="s">
        <v>78</v>
      </c>
      <c r="G49" s="6" t="s">
        <v>101</v>
      </c>
      <c r="H49" s="6" t="s">
        <v>15</v>
      </c>
      <c r="I49" s="6" t="s">
        <v>99</v>
      </c>
      <c r="J49" s="6" t="s">
        <v>106</v>
      </c>
      <c r="K49" s="6" t="s">
        <v>93</v>
      </c>
      <c r="L49" s="8" t="s">
        <v>25</v>
      </c>
    </row>
    <row r="50" spans="1:12" ht="15.75" customHeight="1">
      <c r="A50" s="6">
        <v>10065</v>
      </c>
      <c r="B50" s="6" t="s">
        <v>198</v>
      </c>
      <c r="C50" s="10" t="s">
        <v>188</v>
      </c>
      <c r="D50" s="7" t="s">
        <v>193</v>
      </c>
      <c r="E50" s="6" t="s">
        <v>185</v>
      </c>
      <c r="F50" s="6" t="s">
        <v>189</v>
      </c>
      <c r="G50" s="6" t="s">
        <v>101</v>
      </c>
      <c r="H50" s="6" t="s">
        <v>190</v>
      </c>
      <c r="I50" s="6" t="s">
        <v>177</v>
      </c>
      <c r="J50" s="6" t="s">
        <v>187</v>
      </c>
      <c r="K50" s="6" t="s">
        <v>82</v>
      </c>
      <c r="L50" s="8" t="s">
        <v>26</v>
      </c>
    </row>
    <row r="51" spans="1:12" ht="15.75" customHeight="1">
      <c r="A51" s="6">
        <v>10829</v>
      </c>
      <c r="B51" s="6" t="s">
        <v>109</v>
      </c>
      <c r="C51" s="7" t="s">
        <v>84</v>
      </c>
      <c r="D51" s="7">
        <v>2</v>
      </c>
      <c r="E51" s="6" t="s">
        <v>110</v>
      </c>
      <c r="F51" s="6" t="s">
        <v>78</v>
      </c>
      <c r="G51" s="6" t="s">
        <v>101</v>
      </c>
      <c r="H51" s="6" t="s">
        <v>16</v>
      </c>
      <c r="I51" s="6" t="s">
        <v>99</v>
      </c>
      <c r="J51" s="6" t="s">
        <v>111</v>
      </c>
      <c r="K51" s="6" t="s">
        <v>82</v>
      </c>
      <c r="L51" s="8" t="s">
        <v>28</v>
      </c>
    </row>
    <row r="52" spans="1:12" ht="15.75" customHeight="1">
      <c r="A52" s="6">
        <v>10824</v>
      </c>
      <c r="B52" s="6" t="s">
        <v>76</v>
      </c>
      <c r="C52" s="7" t="s">
        <v>107</v>
      </c>
      <c r="D52" s="7">
        <v>2</v>
      </c>
      <c r="E52" s="6" t="s">
        <v>77</v>
      </c>
      <c r="F52" s="6" t="s">
        <v>78</v>
      </c>
      <c r="G52" s="6" t="s">
        <v>101</v>
      </c>
      <c r="H52" s="6" t="s">
        <v>16</v>
      </c>
      <c r="I52" s="6" t="s">
        <v>108</v>
      </c>
      <c r="J52" s="6" t="s">
        <v>100</v>
      </c>
      <c r="K52" s="6" t="s">
        <v>82</v>
      </c>
      <c r="L52" s="8" t="s">
        <v>26</v>
      </c>
    </row>
    <row r="53" spans="1:12" ht="15.75" customHeight="1">
      <c r="A53" s="6">
        <v>10064</v>
      </c>
      <c r="B53" s="6" t="s">
        <v>184</v>
      </c>
      <c r="C53" s="10">
        <v>1</v>
      </c>
      <c r="D53" s="7" t="s">
        <v>123</v>
      </c>
      <c r="E53" s="6" t="s">
        <v>185</v>
      </c>
      <c r="F53" s="6" t="s">
        <v>125</v>
      </c>
      <c r="G53" s="6" t="s">
        <v>101</v>
      </c>
      <c r="H53" s="6" t="s">
        <v>186</v>
      </c>
      <c r="I53" s="6" t="s">
        <v>99</v>
      </c>
      <c r="J53" s="6" t="s">
        <v>187</v>
      </c>
      <c r="K53" s="6" t="s">
        <v>82</v>
      </c>
      <c r="L53" s="8" t="s">
        <v>26</v>
      </c>
    </row>
    <row r="54" spans="1:12" ht="15.75" customHeight="1">
      <c r="A54" s="6">
        <v>10973</v>
      </c>
      <c r="B54" s="6" t="s">
        <v>76</v>
      </c>
      <c r="C54" s="7" t="s">
        <v>112</v>
      </c>
      <c r="D54" s="7">
        <v>2</v>
      </c>
      <c r="E54" s="6" t="s">
        <v>113</v>
      </c>
      <c r="F54" s="6" t="s">
        <v>78</v>
      </c>
      <c r="G54" s="6" t="s">
        <v>101</v>
      </c>
      <c r="H54" s="6" t="s">
        <v>114</v>
      </c>
      <c r="I54" s="6" t="s">
        <v>108</v>
      </c>
      <c r="J54" s="6" t="s">
        <v>115</v>
      </c>
      <c r="K54" s="6" t="s">
        <v>82</v>
      </c>
      <c r="L54" s="8" t="s">
        <v>25</v>
      </c>
    </row>
    <row r="55" spans="1:12" ht="15.75" customHeight="1">
      <c r="A55" s="6"/>
      <c r="B55" s="6"/>
      <c r="C55" s="6"/>
      <c r="D55" s="7"/>
      <c r="E55" s="12"/>
      <c r="F55" s="12"/>
      <c r="G55" s="6"/>
      <c r="H55" s="6"/>
      <c r="I55" s="6"/>
      <c r="J55" s="6"/>
    </row>
    <row r="56" spans="1:12" ht="15.75" customHeight="1">
      <c r="A56" s="13"/>
      <c r="D56" s="7"/>
    </row>
    <row r="57" spans="1:12" ht="15.75" customHeight="1">
      <c r="A57" s="14" t="s">
        <v>199</v>
      </c>
      <c r="C57" s="7"/>
      <c r="D57" s="7"/>
    </row>
    <row r="58" spans="1:12" ht="15.75" customHeight="1">
      <c r="C58" s="7"/>
    </row>
    <row r="59" spans="1:12" ht="15.75" customHeight="1"/>
    <row r="60" spans="1:12" ht="15.75" customHeight="1"/>
    <row r="61" spans="1:12" ht="15.75" customHeight="1"/>
    <row r="62" spans="1:12" ht="15.75" customHeight="1"/>
    <row r="63" spans="1:12" ht="15.75" customHeight="1"/>
    <row r="64" spans="1:12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sortState ref="A2:L999">
    <sortCondition ref="G2:G999"/>
    <sortCondition ref="H2:H999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AE158-F2FB-4CDF-9F78-34C965FD8AB5}">
  <sheetPr codeName="Sheet4"/>
  <dimension ref="A2:J19"/>
  <sheetViews>
    <sheetView workbookViewId="0">
      <selection activeCell="E16" sqref="E16"/>
    </sheetView>
  </sheetViews>
  <sheetFormatPr defaultRowHeight="15"/>
  <cols>
    <col min="3" max="3" width="13.7109375" bestFit="1" customWidth="1"/>
    <col min="6" max="6" width="17.7109375" bestFit="1" customWidth="1"/>
  </cols>
  <sheetData>
    <row r="2" spans="1:10">
      <c r="A2" t="s">
        <v>42</v>
      </c>
      <c r="B2" t="s">
        <v>146</v>
      </c>
      <c r="C2" t="s">
        <v>147</v>
      </c>
      <c r="D2" t="s">
        <v>155</v>
      </c>
    </row>
    <row r="3" spans="1:10">
      <c r="A3" t="s">
        <v>42</v>
      </c>
      <c r="B3" t="s">
        <v>146</v>
      </c>
      <c r="C3" t="s">
        <v>147</v>
      </c>
      <c r="D3" t="s">
        <v>155</v>
      </c>
    </row>
    <row r="4" spans="1:10">
      <c r="A4" t="s">
        <v>42</v>
      </c>
      <c r="B4" t="s">
        <v>146</v>
      </c>
      <c r="C4" t="s">
        <v>147</v>
      </c>
      <c r="D4" t="s">
        <v>155</v>
      </c>
    </row>
    <row r="5" spans="1:10">
      <c r="A5" t="s">
        <v>42</v>
      </c>
      <c r="B5" t="s">
        <v>146</v>
      </c>
      <c r="C5" t="s">
        <v>147</v>
      </c>
      <c r="D5" t="s">
        <v>155</v>
      </c>
    </row>
    <row r="6" spans="1:10">
      <c r="A6" t="s">
        <v>42</v>
      </c>
      <c r="B6" t="s">
        <v>146</v>
      </c>
      <c r="C6" t="s">
        <v>147</v>
      </c>
      <c r="D6" t="s">
        <v>155</v>
      </c>
    </row>
    <row r="7" spans="1:10">
      <c r="A7" t="s">
        <v>42</v>
      </c>
      <c r="B7" t="s">
        <v>146</v>
      </c>
      <c r="C7" t="s">
        <v>147</v>
      </c>
      <c r="D7" t="s">
        <v>155</v>
      </c>
      <c r="G7" t="s">
        <v>26</v>
      </c>
      <c r="H7" t="s">
        <v>66</v>
      </c>
      <c r="I7" t="s">
        <v>203</v>
      </c>
      <c r="J7" t="s">
        <v>204</v>
      </c>
    </row>
    <row r="8" spans="1:10">
      <c r="A8" t="s">
        <v>42</v>
      </c>
      <c r="B8" t="s">
        <v>146</v>
      </c>
      <c r="C8" t="s">
        <v>147</v>
      </c>
      <c r="D8" t="s">
        <v>155</v>
      </c>
      <c r="G8" t="s">
        <v>42</v>
      </c>
      <c r="H8" t="s">
        <v>146</v>
      </c>
      <c r="I8" t="s">
        <v>147</v>
      </c>
      <c r="J8" t="s">
        <v>155</v>
      </c>
    </row>
    <row r="9" spans="1:10">
      <c r="A9" t="s">
        <v>42</v>
      </c>
      <c r="B9" t="s">
        <v>146</v>
      </c>
      <c r="C9" t="s">
        <v>147</v>
      </c>
      <c r="D9" t="s">
        <v>155</v>
      </c>
    </row>
    <row r="10" spans="1:10">
      <c r="A10" t="s">
        <v>42</v>
      </c>
      <c r="B10" t="s">
        <v>146</v>
      </c>
      <c r="C10" t="s">
        <v>147</v>
      </c>
      <c r="D10" t="s">
        <v>155</v>
      </c>
    </row>
    <row r="19" spans="6:6">
      <c r="F19">
        <f>COUNTIF(Sheet4!A2:A8,"Akram Ahmed")</f>
        <v>0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CopyDataButton_Click" altText="Submit">
                <anchor moveWithCells="1" sizeWithCells="1">
                  <from>
                    <xdr:col>11</xdr:col>
                    <xdr:colOff>28575</xdr:colOff>
                    <xdr:row>7</xdr:row>
                    <xdr:rowOff>19050</xdr:rowOff>
                  </from>
                  <to>
                    <xdr:col>13</xdr:col>
                    <xdr:colOff>0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AB81AD63-AF60-4F53-A922-1B564E2E310D}">
          <x14:formula1>
            <xm:f>MasterSheet!$I$2:$I$33</xm:f>
          </x14:formula1>
          <xm:sqref>G8</xm:sqref>
        </x14:dataValidation>
        <x14:dataValidation type="list" allowBlank="1" showInputMessage="1" showErrorMessage="1" xr:uid="{02638E93-08E0-41AD-A59C-DF65B29BC5BB}">
          <x14:formula1>
            <xm:f>MasterSheet!$J$2:$J$19</xm:f>
          </x14:formula1>
          <xm:sqref>H8</xm:sqref>
        </x14:dataValidation>
        <x14:dataValidation type="list" allowBlank="1" showInputMessage="1" showErrorMessage="1" xr:uid="{71E27EE4-1920-4698-B075-CBFB641978DF}">
          <x14:formula1>
            <xm:f>MasterSheet!$K$2:$K$8</xm:f>
          </x14:formula1>
          <xm:sqref>I8</xm:sqref>
        </x14:dataValidation>
        <x14:dataValidation type="list" allowBlank="1" showInputMessage="1" showErrorMessage="1" xr:uid="{DCA55582-644B-4D2C-AAFC-081CCD39DBC4}">
          <x14:formula1>
            <xm:f>MasterSheet!$L$4:$L$10</xm:f>
          </x14:formula1>
          <xm:sqref>J8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5BD0C-69E1-410F-8C3B-5E85DE414700}">
  <sheetPr codeName="Sheet6"/>
  <dimension ref="A1"/>
  <sheetViews>
    <sheetView workbookViewId="0">
      <selection activeCell="G7" sqref="G7"/>
    </sheetView>
  </sheetViews>
  <sheetFormatPr defaultRowHeight="15"/>
  <cols>
    <col min="1" max="1" width="15" bestFit="1" customWidth="1"/>
    <col min="4" max="4" width="17.85546875" bestFit="1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785BE-DD73-47A9-8055-CEC64982EEAF}">
  <sheetPr codeName="Sheet5"/>
  <dimension ref="C1:AG66"/>
  <sheetViews>
    <sheetView tabSelected="1" topLeftCell="P16" workbookViewId="0">
      <selection activeCell="U30" sqref="U30:Y30"/>
    </sheetView>
  </sheetViews>
  <sheetFormatPr defaultRowHeight="15"/>
  <cols>
    <col min="3" max="3" width="19" bestFit="1" customWidth="1"/>
    <col min="5" max="5" width="18.5703125" bestFit="1" customWidth="1"/>
    <col min="6" max="6" width="10.7109375" bestFit="1" customWidth="1"/>
    <col min="7" max="7" width="7.85546875" customWidth="1"/>
    <col min="8" max="8" width="8" customWidth="1"/>
    <col min="10" max="10" width="20.85546875" customWidth="1"/>
    <col min="11" max="11" width="21.140625" customWidth="1"/>
    <col min="12" max="12" width="21.7109375" customWidth="1"/>
    <col min="13" max="13" width="25.140625" bestFit="1" customWidth="1"/>
    <col min="14" max="14" width="25.140625" customWidth="1"/>
    <col min="15" max="15" width="28.85546875" bestFit="1" customWidth="1"/>
    <col min="16" max="16" width="24.42578125" bestFit="1" customWidth="1"/>
    <col min="17" max="17" width="11.7109375" bestFit="1" customWidth="1"/>
    <col min="19" max="19" width="21.5703125" customWidth="1"/>
    <col min="20" max="20" width="19" customWidth="1"/>
    <col min="21" max="21" width="21.42578125" bestFit="1" customWidth="1"/>
    <col min="22" max="22" width="22.42578125" bestFit="1" customWidth="1"/>
    <col min="23" max="23" width="17.7109375" bestFit="1" customWidth="1"/>
    <col min="24" max="24" width="15.42578125" bestFit="1" customWidth="1"/>
    <col min="25" max="25" width="26.42578125" bestFit="1" customWidth="1"/>
    <col min="26" max="26" width="43.5703125" bestFit="1" customWidth="1"/>
    <col min="27" max="27" width="27" bestFit="1" customWidth="1"/>
    <col min="28" max="28" width="28.85546875" bestFit="1" customWidth="1"/>
    <col min="29" max="29" width="29.85546875" bestFit="1" customWidth="1"/>
  </cols>
  <sheetData>
    <row r="1" spans="3:28">
      <c r="C1" t="s">
        <v>200</v>
      </c>
      <c r="D1" t="s">
        <v>21</v>
      </c>
      <c r="E1" t="s">
        <v>20</v>
      </c>
      <c r="F1" t="s">
        <v>19</v>
      </c>
      <c r="G1" t="s">
        <v>213</v>
      </c>
      <c r="H1" t="s">
        <v>214</v>
      </c>
      <c r="I1" t="s">
        <v>18</v>
      </c>
      <c r="J1" t="s">
        <v>205</v>
      </c>
      <c r="K1" t="s">
        <v>71</v>
      </c>
      <c r="L1" t="s">
        <v>72</v>
      </c>
      <c r="M1" t="s">
        <v>215</v>
      </c>
      <c r="O1" t="s">
        <v>216</v>
      </c>
      <c r="P1" t="s">
        <v>217</v>
      </c>
      <c r="Q1" t="s">
        <v>218</v>
      </c>
      <c r="T1" t="s">
        <v>206</v>
      </c>
      <c r="U1" t="s">
        <v>207</v>
      </c>
      <c r="V1" t="s">
        <v>208</v>
      </c>
      <c r="W1" t="s">
        <v>231</v>
      </c>
      <c r="X1" t="s">
        <v>232</v>
      </c>
      <c r="Y1" t="s">
        <v>240</v>
      </c>
      <c r="Z1" t="s">
        <v>246</v>
      </c>
      <c r="AA1" t="s">
        <v>247</v>
      </c>
    </row>
    <row r="2" spans="3:28" ht="15.75">
      <c r="C2">
        <v>1</v>
      </c>
      <c r="D2">
        <v>4</v>
      </c>
      <c r="E2" t="s">
        <v>25</v>
      </c>
      <c r="F2" t="s">
        <v>24</v>
      </c>
      <c r="G2">
        <f>IF(F2="FT",4,IF(F2="Adjunct",2,))</f>
        <v>4</v>
      </c>
      <c r="H2">
        <f t="shared" ref="H2:H33" si="0">G2-COUNTIF(ProfessorClass,I2)</f>
        <v>4</v>
      </c>
      <c r="I2" t="s">
        <v>23</v>
      </c>
      <c r="J2" s="6" t="s">
        <v>152</v>
      </c>
      <c r="K2" s="6" t="s">
        <v>79</v>
      </c>
      <c r="L2" s="6" t="s">
        <v>159</v>
      </c>
      <c r="M2">
        <v>21</v>
      </c>
      <c r="O2" t="s">
        <v>79</v>
      </c>
      <c r="P2" s="18" t="s">
        <v>219</v>
      </c>
      <c r="Q2" t="s">
        <v>220</v>
      </c>
      <c r="R2" s="6"/>
      <c r="T2">
        <v>9</v>
      </c>
      <c r="U2">
        <v>1</v>
      </c>
      <c r="V2">
        <v>1</v>
      </c>
      <c r="W2">
        <v>6</v>
      </c>
      <c r="X2">
        <f>(V2*V2)*W2</f>
        <v>6</v>
      </c>
    </row>
    <row r="3" spans="3:28" ht="15.75">
      <c r="C3">
        <v>1</v>
      </c>
      <c r="D3">
        <v>6</v>
      </c>
      <c r="E3" t="s">
        <v>49</v>
      </c>
      <c r="F3" t="s">
        <v>37</v>
      </c>
      <c r="G3">
        <f t="shared" ref="G3:G33" si="1">IF(F3="FT",4,IF(F3="Adjunct",2,))</f>
        <v>2</v>
      </c>
      <c r="H3">
        <f t="shared" si="0"/>
        <v>2</v>
      </c>
      <c r="I3" t="s">
        <v>54</v>
      </c>
      <c r="J3" s="6" t="s">
        <v>146</v>
      </c>
      <c r="K3" s="6" t="s">
        <v>147</v>
      </c>
      <c r="L3" s="6" t="s">
        <v>161</v>
      </c>
      <c r="M3">
        <v>22</v>
      </c>
      <c r="O3" t="s">
        <v>96</v>
      </c>
      <c r="P3" s="18" t="s">
        <v>219</v>
      </c>
      <c r="Q3" t="s">
        <v>220</v>
      </c>
      <c r="R3" s="6"/>
      <c r="T3" t="str">
        <f>IF(T2=1,"Akram Ahmed",IF(T2=2,"Andrea Jones",IF(T2=3,"Anne Pugliese",IF(T2=4,"Anstasia Biggs",IF(T2=5,"Bill Schiano",IF(T2=6,"Bill Vanderclock",IF(T2=7,"Charles Wright",IF(T2=8,"Daniel Sheehan",IF(T2=9,"David Rude",IF(T2=10,"David Yates",IF(T2=11,"Donald Aucoin",IF(T2=12, "Elizabeth McCarron",IF(T2=13,"Gaurav Shah",IF(T2=14,"Heikki Topi",IF(T2=15, "James Pape",IF(T2=16,"Jay Cooprider", IF(T2=17, "Jennifer Xu", IF(T2=18,"Joed Graf", IF(T2=19,"Joseph Nezuh",IF(T2=20,"Les Waguespack",IF(T2=21,"Mark Frydenberg",IF(T2=22,"Matthew Macarty",IF(T2=23, "Michael Banks",IF(T2=24,"Mimoza Dimodugno",IF(T2=25,"Monica Garfield",IF(T2=26, "Robert Stubbs", IF(T2=27, "Stephen Tracy", IF(T2=28,"Tamara Babaian",IF(T2=29, "Trish Rice",IF(T2=30,"Vatche Ishakian",IF(T2=31,"Wendy Lucas",IF(T2=32,"Xinru Page",))))))))))))))))))))))))))))))))</f>
        <v>David Rude</v>
      </c>
      <c r="U3" t="str">
        <f>IF(U2=1,"IT 101",IF(U2=2,"CS 150",IF(U2=3,"CS 180",IF(U2=4,"CS 213",IF(U2=5,"CS 240",IF(U2=6,"CS 299",IF(U2=7,"CS 350",IF(U2=8,"CS 360",IF(U2=9,"CS 460",IF(U2=10,"CS 480",IF(U2=11,"CS 603",IF(U2=12, "CS 605",IF(U2=13,"CS 607",IF(U2=14,"CS 610",IF(U2=15, "CS 620",IF(U2=16,"CS 630", IF(U2=17, "CS 650", IF(U2=18,"CS 680",))))))))))))))))))</f>
        <v>IT 101</v>
      </c>
      <c r="V3" t="str">
        <f>IF(V2=1,"M",IF(V2=2,"MW",IF(V2=3,"MR",IF(V2=4,"T",IF(V2=5,"TR",IF(V2=6,"TF",IF(V2=7,"W",IF(V2=8,"R",))))))))</f>
        <v>M</v>
      </c>
      <c r="W3" t="str">
        <f>IF(W2=1,"08:00AM - 09:20AM",IF(W2=2,"09:30AM - 10:50AM",IF(W2=3,"11:00AM - 01:50PM",IF(W2=4,"12:30PM - 01:50PM",IF(W2=5,"02:00PM - 03:20PM",IF(W2=6,"03:30PM - 04:50PM",IF(W2=7,"05:00PM - 06:20PM",IF(W2=8,"05:00PM - 07:20PM",IF(W2=9,"06:30PM - 09:10PM",IF(W2=10,"07:30PM - 09:50PM",))))))))))</f>
        <v>03:30PM - 04:50PM</v>
      </c>
      <c r="Y3">
        <f>IF(T2=1,H2,IF(T2=2,H3,IF(T2=3,H4,IF(T2=4,H5,IF(T2=5,H6,IF(T2=6,H7,IF(T2=7,H8,IF(T2=8,H9,IF(T2=9,H10,IF(T2=10,H11,IF(T2=11,H12,IF(T2=12,H13,IF(T2=13,H14,IF(T2=14,H15,IF(T2=15,H16,IF(T2=16,H17, IF(T2=17, H18, IF(T2=18,H19, IF(T2=19,H20,IF(T2=20,H21,IF(T2=21,H22,IF(T2=22,H23,IF(T2=23, H24,IF(T2=24,H25,IF(T2=25,H26,IF(T2=26,H27, IF(T2=27,H28, IF(T2=28,H29,IF(T2=29,H30,IF(T2=30,H31,IF(T2=31,H32,IF(T2=32,H33,))))))))))))))))))))))))))))))))</f>
        <v>1</v>
      </c>
      <c r="Z3" t="b">
        <f>IF((COUNTIF($Z$22:$Z$65,_xlfn.CONCAT($T$3,$U$3,$V$3,$W$3)))&gt;=1,TRUE,FALSE)</f>
        <v>1</v>
      </c>
      <c r="AA3">
        <f>IF(OR(V3="M",V3="MW",V3="MR"),COUNTIF(AA22:AA65,_xlfn.CONCAT(T3,V3,W3))+COUNTIF(AA22:AA65,_xlfn.CONCAT(T3,"MW",W3))+COUNTIF(AA22:AA65,_xlfn.CONCAT(T3,"M",W3))+COUNTIF(AA22:AA65,_xlfn.CONCAT(T3,"MR",W3)),IF(OR(V3="T",V3="TR",V3="TF"),COUNTIF(AA22:AA65,_xlfn.CONCAT(T3,V3,W3))+COUNTIF(AA22:AA65,_xlfn.CONCAT(T3,"TF",W3))+COUNTIF(AA22:AA65,_xlfn.CONCAT(T3,"T",W3))+COUNTIF(AA22:AA65,_xlfn.CONCAT(T3,"TR",W3))+COUNTIF(AA22:AA65,_xlfn.CONCAT(T3,"R",W3)),IF(OR(V3="W",V3="MW"),COUNTIF(AA22:AA65,_xlfn.CONCAT(T3,V3,W3))+COUNTIF(AA22:AA65,_xlfn.CONCAT(T3,"W",W3))+COUNTIF(AA22:AA65,_xlfn.CONCAT(T3,"MW",W3)),IF(OR(V3="R",V3="TR"),COUNTIF(AA22:AA65,_xlfn.CONCAT(T3,V3,W3))+COUNTIF(AA22:AA65,_xlfn.CONCAT(T3,"TR",W3))+COUNTIF(AA22:AA65,_xlfn.CONCAT(T3,"T",W3)),+COUNTIF(AA22:AA65,_xlfn.CONCAT(T3,"TR",W3))))))</f>
        <v>2</v>
      </c>
    </row>
    <row r="4" spans="3:28" ht="15.75">
      <c r="C4">
        <v>1</v>
      </c>
      <c r="D4">
        <v>6</v>
      </c>
      <c r="E4" t="s">
        <v>49</v>
      </c>
      <c r="F4" t="s">
        <v>37</v>
      </c>
      <c r="G4">
        <f t="shared" si="1"/>
        <v>2</v>
      </c>
      <c r="H4">
        <f t="shared" si="0"/>
        <v>2</v>
      </c>
      <c r="I4" t="s">
        <v>57</v>
      </c>
      <c r="J4" s="6" t="s">
        <v>168</v>
      </c>
      <c r="K4" s="6" t="s">
        <v>126</v>
      </c>
      <c r="L4" s="6" t="s">
        <v>186</v>
      </c>
      <c r="M4">
        <v>23</v>
      </c>
      <c r="O4" t="s">
        <v>101</v>
      </c>
      <c r="P4" s="18" t="s">
        <v>219</v>
      </c>
      <c r="Q4" t="s">
        <v>220</v>
      </c>
      <c r="R4" s="6"/>
      <c r="T4">
        <v>9</v>
      </c>
      <c r="U4">
        <v>9</v>
      </c>
      <c r="V4">
        <v>1</v>
      </c>
      <c r="W4">
        <v>9</v>
      </c>
      <c r="X4">
        <v>9</v>
      </c>
    </row>
    <row r="5" spans="3:28" ht="15.75">
      <c r="C5">
        <v>1</v>
      </c>
      <c r="D5">
        <v>6</v>
      </c>
      <c r="E5" t="s">
        <v>49</v>
      </c>
      <c r="F5" t="s">
        <v>37</v>
      </c>
      <c r="G5">
        <f t="shared" si="1"/>
        <v>2</v>
      </c>
      <c r="H5">
        <f t="shared" si="0"/>
        <v>2</v>
      </c>
      <c r="I5" t="s">
        <v>51</v>
      </c>
      <c r="J5" s="6" t="s">
        <v>138</v>
      </c>
      <c r="K5" s="6" t="s">
        <v>96</v>
      </c>
      <c r="L5" s="6" t="s">
        <v>142</v>
      </c>
      <c r="M5">
        <v>24</v>
      </c>
      <c r="O5" t="s">
        <v>86</v>
      </c>
      <c r="P5" s="18" t="s">
        <v>219</v>
      </c>
      <c r="Q5" t="s">
        <v>220</v>
      </c>
      <c r="R5" s="6"/>
    </row>
    <row r="6" spans="3:28" ht="15.75">
      <c r="C6">
        <v>1</v>
      </c>
      <c r="D6">
        <v>1</v>
      </c>
      <c r="E6" t="s">
        <v>26</v>
      </c>
      <c r="F6" t="s">
        <v>24</v>
      </c>
      <c r="G6">
        <f t="shared" si="1"/>
        <v>4</v>
      </c>
      <c r="H6">
        <f t="shared" si="0"/>
        <v>0</v>
      </c>
      <c r="I6" t="s">
        <v>42</v>
      </c>
      <c r="J6" s="6" t="s">
        <v>143</v>
      </c>
      <c r="K6" s="6" t="s">
        <v>181</v>
      </c>
      <c r="L6" s="6" t="s">
        <v>127</v>
      </c>
      <c r="M6">
        <v>25</v>
      </c>
      <c r="O6" t="s">
        <v>79</v>
      </c>
      <c r="P6" s="18" t="s">
        <v>220</v>
      </c>
      <c r="Q6" t="s">
        <v>221</v>
      </c>
      <c r="R6" s="6"/>
      <c r="S6" t="s">
        <v>241</v>
      </c>
      <c r="T6" s="38" t="s">
        <v>242</v>
      </c>
    </row>
    <row r="7" spans="3:28" ht="15.75">
      <c r="C7">
        <v>1</v>
      </c>
      <c r="D7">
        <v>4</v>
      </c>
      <c r="E7" t="s">
        <v>25</v>
      </c>
      <c r="F7" t="s">
        <v>24</v>
      </c>
      <c r="G7">
        <f t="shared" si="1"/>
        <v>4</v>
      </c>
      <c r="H7">
        <f t="shared" si="0"/>
        <v>2</v>
      </c>
      <c r="I7" t="s">
        <v>44</v>
      </c>
      <c r="J7" s="6" t="s">
        <v>149</v>
      </c>
      <c r="K7" s="6" t="s">
        <v>167</v>
      </c>
      <c r="L7" s="6" t="s">
        <v>148</v>
      </c>
      <c r="M7">
        <v>26</v>
      </c>
      <c r="O7" t="s">
        <v>96</v>
      </c>
      <c r="P7" s="18" t="s">
        <v>220</v>
      </c>
      <c r="Q7" t="s">
        <v>221</v>
      </c>
      <c r="R7" s="6"/>
      <c r="Z7" s="40" t="s">
        <v>209</v>
      </c>
    </row>
    <row r="8" spans="3:28" ht="15.75">
      <c r="C8">
        <v>1</v>
      </c>
      <c r="D8">
        <v>6</v>
      </c>
      <c r="E8" t="s">
        <v>49</v>
      </c>
      <c r="F8" t="s">
        <v>37</v>
      </c>
      <c r="G8">
        <f t="shared" si="1"/>
        <v>2</v>
      </c>
      <c r="H8">
        <f t="shared" si="0"/>
        <v>2</v>
      </c>
      <c r="I8" t="s">
        <v>64</v>
      </c>
      <c r="J8" s="6" t="s">
        <v>165</v>
      </c>
      <c r="K8" s="6" t="s">
        <v>101</v>
      </c>
      <c r="L8" s="6" t="s">
        <v>155</v>
      </c>
      <c r="M8">
        <v>27</v>
      </c>
      <c r="O8" t="s">
        <v>101</v>
      </c>
      <c r="P8" s="18" t="s">
        <v>220</v>
      </c>
      <c r="Q8" t="s">
        <v>221</v>
      </c>
      <c r="R8" s="6"/>
      <c r="Z8" s="40"/>
    </row>
    <row r="9" spans="3:28" ht="15.75">
      <c r="C9">
        <v>1</v>
      </c>
      <c r="D9">
        <v>6</v>
      </c>
      <c r="E9" t="s">
        <v>49</v>
      </c>
      <c r="F9" t="s">
        <v>37</v>
      </c>
      <c r="G9">
        <f t="shared" si="1"/>
        <v>2</v>
      </c>
      <c r="H9">
        <f t="shared" si="0"/>
        <v>2</v>
      </c>
      <c r="I9" t="s">
        <v>61</v>
      </c>
      <c r="J9" s="6" t="s">
        <v>198</v>
      </c>
      <c r="K9" s="6" t="s">
        <v>86</v>
      </c>
      <c r="L9" s="6" t="s">
        <v>15</v>
      </c>
      <c r="M9">
        <v>28</v>
      </c>
      <c r="O9" t="s">
        <v>86</v>
      </c>
      <c r="P9" s="18" t="s">
        <v>220</v>
      </c>
      <c r="Q9" t="s">
        <v>221</v>
      </c>
      <c r="R9" s="6"/>
      <c r="Z9" s="40" t="s">
        <v>210</v>
      </c>
      <c r="AB9" s="6" t="s">
        <v>79</v>
      </c>
    </row>
    <row r="10" spans="3:28" ht="15.75">
      <c r="C10">
        <v>1</v>
      </c>
      <c r="D10">
        <v>6</v>
      </c>
      <c r="E10" t="s">
        <v>49</v>
      </c>
      <c r="F10" t="s">
        <v>37</v>
      </c>
      <c r="G10">
        <f t="shared" si="1"/>
        <v>2</v>
      </c>
      <c r="H10">
        <f t="shared" si="0"/>
        <v>1</v>
      </c>
      <c r="I10" t="s">
        <v>59</v>
      </c>
      <c r="J10" s="6" t="s">
        <v>171</v>
      </c>
      <c r="K10" s="6"/>
      <c r="L10" s="6" t="s">
        <v>190</v>
      </c>
      <c r="M10" s="6"/>
      <c r="N10" s="6"/>
      <c r="Z10" s="40"/>
      <c r="AB10" s="6" t="s">
        <v>147</v>
      </c>
    </row>
    <row r="11" spans="3:28" ht="16.5" thickBot="1">
      <c r="C11">
        <v>1</v>
      </c>
      <c r="D11">
        <v>2</v>
      </c>
      <c r="E11" t="s">
        <v>28</v>
      </c>
      <c r="F11" t="s">
        <v>24</v>
      </c>
      <c r="G11">
        <f t="shared" si="1"/>
        <v>4</v>
      </c>
      <c r="H11">
        <f t="shared" si="0"/>
        <v>2</v>
      </c>
      <c r="I11" t="s">
        <v>47</v>
      </c>
      <c r="J11" s="6" t="s">
        <v>182</v>
      </c>
      <c r="L11" s="6" t="s">
        <v>16</v>
      </c>
      <c r="M11" s="6"/>
      <c r="N11" s="6"/>
      <c r="Z11" s="40" t="s">
        <v>211</v>
      </c>
      <c r="AB11" s="6" t="s">
        <v>126</v>
      </c>
    </row>
    <row r="12" spans="3:28" ht="15.75">
      <c r="C12">
        <v>1</v>
      </c>
      <c r="D12">
        <v>6</v>
      </c>
      <c r="E12" t="s">
        <v>49</v>
      </c>
      <c r="F12" t="s">
        <v>37</v>
      </c>
      <c r="G12">
        <f t="shared" si="1"/>
        <v>2</v>
      </c>
      <c r="H12">
        <f t="shared" si="0"/>
        <v>2</v>
      </c>
      <c r="I12" t="s">
        <v>48</v>
      </c>
      <c r="J12" s="6" t="s">
        <v>89</v>
      </c>
      <c r="K12" s="21" t="s">
        <v>237</v>
      </c>
      <c r="L12" s="21" t="s">
        <v>238</v>
      </c>
      <c r="Q12" s="6"/>
      <c r="R12" s="22" t="s">
        <v>234</v>
      </c>
      <c r="S12" s="23" t="s">
        <v>235</v>
      </c>
      <c r="T12" s="23"/>
      <c r="U12" s="23"/>
      <c r="V12" s="23"/>
      <c r="W12" s="24"/>
      <c r="Z12" s="40"/>
      <c r="AB12" s="6" t="s">
        <v>96</v>
      </c>
    </row>
    <row r="13" spans="3:28" ht="15.75">
      <c r="C13">
        <v>1</v>
      </c>
      <c r="D13">
        <v>5</v>
      </c>
      <c r="E13" t="s">
        <v>34</v>
      </c>
      <c r="F13" t="s">
        <v>24</v>
      </c>
      <c r="G13">
        <f t="shared" si="1"/>
        <v>4</v>
      </c>
      <c r="H13">
        <f t="shared" si="0"/>
        <v>4</v>
      </c>
      <c r="I13" t="s">
        <v>39</v>
      </c>
      <c r="J13" s="6" t="s">
        <v>76</v>
      </c>
      <c r="K13" s="21">
        <v>1</v>
      </c>
      <c r="L13" s="6">
        <v>7</v>
      </c>
      <c r="Q13" s="6"/>
      <c r="R13" s="25" t="s">
        <v>204</v>
      </c>
      <c r="S13" s="26" t="s">
        <v>222</v>
      </c>
      <c r="T13" s="26" t="s">
        <v>223</v>
      </c>
      <c r="U13" s="26" t="s">
        <v>224</v>
      </c>
      <c r="V13" s="26" t="s">
        <v>225</v>
      </c>
      <c r="W13" s="27" t="s">
        <v>226</v>
      </c>
      <c r="Z13" s="40" t="s">
        <v>212</v>
      </c>
      <c r="AB13" s="6" t="s">
        <v>181</v>
      </c>
    </row>
    <row r="14" spans="3:28" ht="30">
      <c r="C14">
        <v>1</v>
      </c>
      <c r="D14">
        <v>6</v>
      </c>
      <c r="E14" t="s">
        <v>49</v>
      </c>
      <c r="F14" t="s">
        <v>37</v>
      </c>
      <c r="G14">
        <f t="shared" si="1"/>
        <v>2</v>
      </c>
      <c r="H14">
        <f t="shared" si="0"/>
        <v>2</v>
      </c>
      <c r="I14" t="s">
        <v>60</v>
      </c>
      <c r="J14" s="6" t="s">
        <v>202</v>
      </c>
      <c r="K14" s="21">
        <v>4</v>
      </c>
      <c r="L14" s="6">
        <v>9</v>
      </c>
      <c r="Q14" s="6"/>
      <c r="R14" s="28" t="s">
        <v>228</v>
      </c>
      <c r="S14" s="29">
        <v>8</v>
      </c>
      <c r="T14" s="29">
        <v>128</v>
      </c>
      <c r="U14" s="29">
        <v>392</v>
      </c>
      <c r="V14" s="29">
        <v>512</v>
      </c>
      <c r="W14" s="30" t="s">
        <v>227</v>
      </c>
      <c r="AB14" s="6" t="s">
        <v>167</v>
      </c>
    </row>
    <row r="15" spans="3:28" ht="30.75" thickBot="1">
      <c r="C15">
        <v>1</v>
      </c>
      <c r="D15">
        <v>1</v>
      </c>
      <c r="E15" t="s">
        <v>26</v>
      </c>
      <c r="F15" t="s">
        <v>24</v>
      </c>
      <c r="G15">
        <f t="shared" si="1"/>
        <v>4</v>
      </c>
      <c r="H15">
        <f t="shared" si="0"/>
        <v>4</v>
      </c>
      <c r="I15" t="s">
        <v>43</v>
      </c>
      <c r="J15" s="6" t="s">
        <v>94</v>
      </c>
      <c r="K15" s="21">
        <v>7</v>
      </c>
      <c r="Q15" s="6"/>
      <c r="R15" s="31" t="s">
        <v>229</v>
      </c>
      <c r="S15" s="32">
        <v>10</v>
      </c>
      <c r="T15" s="32">
        <v>160</v>
      </c>
      <c r="U15" s="32">
        <v>490</v>
      </c>
      <c r="V15" s="32">
        <v>640</v>
      </c>
      <c r="W15" s="33" t="s">
        <v>227</v>
      </c>
      <c r="AB15" s="6" t="s">
        <v>101</v>
      </c>
    </row>
    <row r="16" spans="3:28" ht="15.75">
      <c r="C16">
        <v>1</v>
      </c>
      <c r="D16">
        <v>4</v>
      </c>
      <c r="E16" t="s">
        <v>25</v>
      </c>
      <c r="F16" t="s">
        <v>24</v>
      </c>
      <c r="G16">
        <f t="shared" si="1"/>
        <v>4</v>
      </c>
      <c r="H16">
        <f t="shared" si="0"/>
        <v>4</v>
      </c>
      <c r="I16" t="s">
        <v>41</v>
      </c>
      <c r="J16" s="6" t="s">
        <v>83</v>
      </c>
      <c r="K16" s="21">
        <v>8</v>
      </c>
      <c r="Q16" s="6"/>
      <c r="R16" s="6"/>
      <c r="T16" s="6"/>
      <c r="AB16" s="6" t="s">
        <v>86</v>
      </c>
    </row>
    <row r="17" spans="3:33" ht="15.75">
      <c r="C17">
        <v>1</v>
      </c>
      <c r="D17">
        <v>2</v>
      </c>
      <c r="E17" t="s">
        <v>28</v>
      </c>
      <c r="F17" t="s">
        <v>24</v>
      </c>
      <c r="G17">
        <f t="shared" si="1"/>
        <v>4</v>
      </c>
      <c r="H17">
        <f t="shared" si="0"/>
        <v>4</v>
      </c>
      <c r="I17" t="s">
        <v>30</v>
      </c>
      <c r="J17" s="6" t="s">
        <v>97</v>
      </c>
      <c r="P17" t="s">
        <v>239</v>
      </c>
      <c r="Q17" s="6"/>
      <c r="R17" t="s">
        <v>204</v>
      </c>
      <c r="S17" t="s">
        <v>222</v>
      </c>
      <c r="T17" t="s">
        <v>223</v>
      </c>
      <c r="U17" t="s">
        <v>224</v>
      </c>
      <c r="V17" t="s">
        <v>225</v>
      </c>
      <c r="W17" t="s">
        <v>226</v>
      </c>
    </row>
    <row r="18" spans="3:33" ht="30">
      <c r="C18">
        <v>1</v>
      </c>
      <c r="D18">
        <v>2</v>
      </c>
      <c r="E18" t="s">
        <v>28</v>
      </c>
      <c r="F18" t="s">
        <v>24</v>
      </c>
      <c r="G18">
        <f t="shared" si="1"/>
        <v>4</v>
      </c>
      <c r="H18">
        <f t="shared" si="0"/>
        <v>4</v>
      </c>
      <c r="I18" t="s">
        <v>46</v>
      </c>
      <c r="J18" s="6" t="s">
        <v>109</v>
      </c>
      <c r="K18" s="21"/>
      <c r="L18" t="str">
        <f>IF(G5-COUNTIF(ProfessorClass,I5)&lt;0,"TooMany","Fine")</f>
        <v>Fine</v>
      </c>
      <c r="Q18" s="6"/>
      <c r="R18" s="19" t="s">
        <v>228</v>
      </c>
      <c r="S18" s="20" t="e">
        <f>_xlfn.CONCAT(INDEX($P$22:$Y$65,MATCH($S$14,$Y$22:$Y$65,0),1)," ",INDEX($P$22:$Y$65,MATCH($S$14,$Y$22:$Y$65,0),2))</f>
        <v>#N/A</v>
      </c>
      <c r="T18" s="20" t="e">
        <f>_xlfn.CONCAT(INDEX($P$22:$Y$65,MATCH($T$14,$Y$22:$Y$65,0),1)," ",INDEX($P$22:$Y$65,MATCH($T$14,$Y$22:$Y$65,0),2))</f>
        <v>#N/A</v>
      </c>
      <c r="U18" s="20" t="e">
        <f>_xlfn.CONCAT(INDEX($P$22:$Y$65,MATCH($U$14,$Y$22:$Y$65,0),1)," ",INDEX($P$22:$Y$65,MATCH($U$14,$Y$22:$Y$65,0),2))</f>
        <v>#N/A</v>
      </c>
      <c r="V18" s="20" t="e">
        <f>_xlfn.CONCAT(INDEX($P$22:$Y$65,MATCH($V$14,$Y$22:$Y$65,0),1)," ",INDEX($P$22:$Y$65,MATCH($V$14,$Y$22:$Y$65,0),2))</f>
        <v>#N/A</v>
      </c>
      <c r="W18" s="20" t="s">
        <v>227</v>
      </c>
    </row>
    <row r="19" spans="3:33" ht="30">
      <c r="C19">
        <v>1</v>
      </c>
      <c r="D19">
        <v>6</v>
      </c>
      <c r="E19" t="s">
        <v>49</v>
      </c>
      <c r="F19" t="s">
        <v>37</v>
      </c>
      <c r="G19">
        <f t="shared" si="1"/>
        <v>2</v>
      </c>
      <c r="H19">
        <f t="shared" si="0"/>
        <v>2</v>
      </c>
      <c r="I19" t="s">
        <v>53</v>
      </c>
      <c r="J19" s="6" t="s">
        <v>104</v>
      </c>
      <c r="K19" s="21"/>
      <c r="Q19" s="6"/>
      <c r="R19" s="19" t="s">
        <v>229</v>
      </c>
      <c r="S19" s="20" t="e">
        <f>_xlfn.CONCAT(INDEX($P$22:$Y$65,MATCH($S$15,$Y$22:$Y$65,0),1)," ",INDEX($P$22:$Y$65,MATCH($S$15,$Y$22:$Y$65,0),2))</f>
        <v>#N/A</v>
      </c>
      <c r="T19" s="20" t="e">
        <f>_xlfn.CONCAT(INDEX($P$22:$Y$65,MATCH($T$15,$Y$22:$Y$65,0),1)," ",INDEX($P$22:$Y$65,MATCH($T$15,$Y$22:$Y$65,0),2))</f>
        <v>#N/A</v>
      </c>
      <c r="U19" s="20" t="str">
        <f>_xlfn.CONCAT(INDEX($P$22:$Y$65,MATCH($U$15,$Y$22:$Y$65,0),1)," ",INDEX($P$22:$Y$65,MATCH($U$15,$Y$22:$Y$65,0),2))</f>
        <v>Bill Vanderclock IT 101</v>
      </c>
      <c r="V19" s="20" t="str">
        <f>_xlfn.CONCAT(INDEX($P$22:$Y$65,MATCH($V$15,$Y$22:$Y$65,0),1)," ",INDEX($P$22:$Y$65,MATCH($V$15,$Y$22:$Y$65,0),2))</f>
        <v>David Yates IT 101</v>
      </c>
      <c r="W19" s="20" t="s">
        <v>227</v>
      </c>
    </row>
    <row r="20" spans="3:33" ht="16.5" thickBot="1">
      <c r="C20">
        <v>1</v>
      </c>
      <c r="D20">
        <v>6</v>
      </c>
      <c r="E20" t="s">
        <v>49</v>
      </c>
      <c r="F20" t="s">
        <v>37</v>
      </c>
      <c r="G20">
        <f t="shared" si="1"/>
        <v>2</v>
      </c>
      <c r="H20">
        <f t="shared" si="0"/>
        <v>2</v>
      </c>
      <c r="I20" t="s">
        <v>56</v>
      </c>
      <c r="K20" s="6"/>
      <c r="L20" s="6"/>
      <c r="M20" s="6"/>
      <c r="N20" s="6"/>
    </row>
    <row r="21" spans="3:33" ht="15.75">
      <c r="C21">
        <v>1</v>
      </c>
      <c r="D21">
        <v>1</v>
      </c>
      <c r="E21" t="s">
        <v>26</v>
      </c>
      <c r="F21" t="s">
        <v>24</v>
      </c>
      <c r="G21">
        <f t="shared" si="1"/>
        <v>4</v>
      </c>
      <c r="H21">
        <f t="shared" si="0"/>
        <v>4</v>
      </c>
      <c r="I21" t="s">
        <v>45</v>
      </c>
      <c r="K21" s="6"/>
      <c r="L21" s="6"/>
      <c r="N21" s="6"/>
      <c r="O21" s="6" t="s">
        <v>236</v>
      </c>
      <c r="P21" s="34" t="s">
        <v>26</v>
      </c>
      <c r="Q21" s="23" t="s">
        <v>66</v>
      </c>
      <c r="R21" s="23" t="s">
        <v>203</v>
      </c>
      <c r="S21" s="23" t="s">
        <v>204</v>
      </c>
      <c r="U21" s="23" t="s">
        <v>206</v>
      </c>
      <c r="V21" s="23" t="s">
        <v>230</v>
      </c>
      <c r="W21" s="23" t="s">
        <v>208</v>
      </c>
      <c r="X21" s="23" t="s">
        <v>231</v>
      </c>
      <c r="Y21" s="24" t="s">
        <v>233</v>
      </c>
      <c r="Z21" s="23" t="s">
        <v>246</v>
      </c>
      <c r="AA21" s="39" t="s">
        <v>243</v>
      </c>
      <c r="AB21" t="s">
        <v>244</v>
      </c>
      <c r="AC21" t="s">
        <v>245</v>
      </c>
    </row>
    <row r="22" spans="3:33" ht="15.75">
      <c r="C22">
        <v>1</v>
      </c>
      <c r="D22">
        <v>4</v>
      </c>
      <c r="E22" t="s">
        <v>25</v>
      </c>
      <c r="F22" t="s">
        <v>24</v>
      </c>
      <c r="G22">
        <f t="shared" si="1"/>
        <v>4</v>
      </c>
      <c r="H22">
        <f t="shared" si="0"/>
        <v>4</v>
      </c>
      <c r="I22" t="s">
        <v>32</v>
      </c>
      <c r="K22" s="6"/>
      <c r="L22" s="6"/>
      <c r="N22" s="6"/>
      <c r="O22" s="6"/>
      <c r="P22" s="25" t="s">
        <v>42</v>
      </c>
      <c r="Q22" s="26" t="s">
        <v>152</v>
      </c>
      <c r="R22" s="26" t="s">
        <v>96</v>
      </c>
      <c r="S22" s="26" t="s">
        <v>142</v>
      </c>
      <c r="U22" s="26">
        <v>5</v>
      </c>
      <c r="V22" s="26">
        <v>1</v>
      </c>
      <c r="W22" s="26">
        <v>4</v>
      </c>
      <c r="X22" s="26">
        <v>4</v>
      </c>
      <c r="Y22" s="27">
        <v>64</v>
      </c>
      <c r="Z22" s="26" t="str">
        <f t="shared" ref="Z22:Z36" si="2">_xlfn.CONCAT(P22,Q22,R22,S22)</f>
        <v>Bill SchianoIT 101T12:30PM - 01:50PM</v>
      </c>
      <c r="AA22" t="str">
        <f>_xlfn.CONCAT(P22,R22,S22)</f>
        <v>Bill SchianoT12:30PM - 01:50PM</v>
      </c>
      <c r="AB22">
        <f t="shared" ref="AB22:AB66" si="3">COUNTIF($Z$22:$Z$65,_xlfn.CONCAT($P22,$Q22,$R22,$S22))-1</f>
        <v>0</v>
      </c>
      <c r="AC22">
        <f>COUNTIF($AA$22:$AA$65,_xlfn.CONCAT(P22,R22,S22))-1</f>
        <v>0</v>
      </c>
      <c r="AE22">
        <f t="shared" ref="AE22:AE40" si="4">COUNTIF($Z$22:$Z$65,_xlfn.CONCAT($P22,$Q22,$R22,$S22))</f>
        <v>1</v>
      </c>
      <c r="AF22" s="20"/>
      <c r="AG22" s="20"/>
    </row>
    <row r="23" spans="3:33" ht="15.75">
      <c r="C23">
        <v>1</v>
      </c>
      <c r="D23">
        <v>6</v>
      </c>
      <c r="E23" t="s">
        <v>49</v>
      </c>
      <c r="F23" t="s">
        <v>37</v>
      </c>
      <c r="G23">
        <f t="shared" si="1"/>
        <v>2</v>
      </c>
      <c r="H23">
        <f t="shared" si="0"/>
        <v>2</v>
      </c>
      <c r="I23" t="s">
        <v>55</v>
      </c>
      <c r="K23" s="6"/>
      <c r="L23" s="6"/>
      <c r="N23" s="6"/>
      <c r="O23" s="6"/>
      <c r="P23" s="25" t="s">
        <v>42</v>
      </c>
      <c r="Q23" s="26" t="s">
        <v>152</v>
      </c>
      <c r="R23" s="26" t="s">
        <v>79</v>
      </c>
      <c r="S23" s="26" t="s">
        <v>148</v>
      </c>
      <c r="U23" s="26">
        <v>5</v>
      </c>
      <c r="V23" s="26">
        <v>1</v>
      </c>
      <c r="W23" s="26">
        <v>1</v>
      </c>
      <c r="X23" s="26">
        <v>6</v>
      </c>
      <c r="Y23" s="27">
        <v>6</v>
      </c>
      <c r="Z23" s="26" t="str">
        <f t="shared" si="2"/>
        <v>Bill SchianoIT 101M03:30PM - 04:50PM</v>
      </c>
      <c r="AA23" t="str">
        <f t="shared" ref="AA23:AA65" si="5">_xlfn.CONCAT(P23,R23,S23)</f>
        <v>Bill SchianoM03:30PM - 04:50PM</v>
      </c>
      <c r="AB23">
        <f t="shared" si="3"/>
        <v>0</v>
      </c>
      <c r="AC23">
        <f t="shared" ref="AC23:AC66" si="6">COUNTIF($AA$22:$AA$65,_xlfn.CONCAT(P23,R23,S23))-1</f>
        <v>0</v>
      </c>
      <c r="AE23">
        <f t="shared" si="4"/>
        <v>1</v>
      </c>
      <c r="AF23" s="20"/>
      <c r="AG23" s="20"/>
    </row>
    <row r="24" spans="3:33" ht="15.75">
      <c r="C24">
        <v>1</v>
      </c>
      <c r="D24">
        <v>6</v>
      </c>
      <c r="E24" t="s">
        <v>49</v>
      </c>
      <c r="F24" t="s">
        <v>37</v>
      </c>
      <c r="G24">
        <f t="shared" si="1"/>
        <v>2</v>
      </c>
      <c r="H24">
        <f t="shared" si="0"/>
        <v>2</v>
      </c>
      <c r="I24" t="s">
        <v>50</v>
      </c>
      <c r="K24" s="6"/>
      <c r="L24" s="6"/>
      <c r="M24" s="6"/>
      <c r="N24" s="6"/>
      <c r="P24" s="25" t="s">
        <v>42</v>
      </c>
      <c r="Q24" s="26" t="s">
        <v>152</v>
      </c>
      <c r="R24" s="26" t="s">
        <v>181</v>
      </c>
      <c r="S24" s="26" t="s">
        <v>142</v>
      </c>
      <c r="U24" s="26">
        <v>5</v>
      </c>
      <c r="V24" s="26">
        <v>1</v>
      </c>
      <c r="W24" s="26">
        <v>5</v>
      </c>
      <c r="X24" s="26">
        <v>4</v>
      </c>
      <c r="Y24" s="27">
        <v>100</v>
      </c>
      <c r="Z24" s="26" t="str">
        <f t="shared" si="2"/>
        <v>Bill SchianoIT 101TR12:30PM - 01:50PM</v>
      </c>
      <c r="AA24" t="str">
        <f t="shared" si="5"/>
        <v>Bill SchianoTR12:30PM - 01:50PM</v>
      </c>
      <c r="AB24">
        <f t="shared" si="3"/>
        <v>0</v>
      </c>
      <c r="AC24">
        <f t="shared" si="6"/>
        <v>0</v>
      </c>
      <c r="AE24">
        <f t="shared" si="4"/>
        <v>1</v>
      </c>
    </row>
    <row r="25" spans="3:33" ht="15.75">
      <c r="C25">
        <v>1</v>
      </c>
      <c r="D25">
        <v>6</v>
      </c>
      <c r="E25" t="s">
        <v>49</v>
      </c>
      <c r="F25" t="s">
        <v>37</v>
      </c>
      <c r="G25">
        <f t="shared" si="1"/>
        <v>2</v>
      </c>
      <c r="H25">
        <f t="shared" si="0"/>
        <v>2</v>
      </c>
      <c r="I25" t="s">
        <v>52</v>
      </c>
      <c r="K25" s="6"/>
      <c r="L25" s="6"/>
      <c r="M25" s="6"/>
      <c r="N25" s="6"/>
      <c r="P25" s="25" t="s">
        <v>42</v>
      </c>
      <c r="Q25" s="26" t="s">
        <v>152</v>
      </c>
      <c r="R25" s="26" t="s">
        <v>96</v>
      </c>
      <c r="S25" s="26" t="s">
        <v>148</v>
      </c>
      <c r="U25" s="26">
        <v>5</v>
      </c>
      <c r="V25" s="26">
        <v>1</v>
      </c>
      <c r="W25" s="26">
        <v>4</v>
      </c>
      <c r="X25" s="26">
        <v>6</v>
      </c>
      <c r="Y25" s="27">
        <v>96</v>
      </c>
      <c r="Z25" s="26" t="str">
        <f t="shared" si="2"/>
        <v>Bill SchianoIT 101T03:30PM - 04:50PM</v>
      </c>
      <c r="AA25" t="str">
        <f t="shared" si="5"/>
        <v>Bill SchianoT03:30PM - 04:50PM</v>
      </c>
      <c r="AB25">
        <f t="shared" si="3"/>
        <v>0</v>
      </c>
      <c r="AC25">
        <f t="shared" si="6"/>
        <v>0</v>
      </c>
      <c r="AE25">
        <f t="shared" si="4"/>
        <v>1</v>
      </c>
    </row>
    <row r="26" spans="3:33" ht="15.75">
      <c r="C26">
        <v>1</v>
      </c>
      <c r="D26">
        <v>2</v>
      </c>
      <c r="E26" t="s">
        <v>28</v>
      </c>
      <c r="F26" t="s">
        <v>24</v>
      </c>
      <c r="G26">
        <f t="shared" si="1"/>
        <v>4</v>
      </c>
      <c r="H26">
        <f t="shared" si="0"/>
        <v>4</v>
      </c>
      <c r="I26" t="s">
        <v>33</v>
      </c>
      <c r="K26" s="6"/>
      <c r="L26" s="6"/>
      <c r="M26" s="6"/>
      <c r="N26" s="6"/>
      <c r="P26" s="25" t="s">
        <v>44</v>
      </c>
      <c r="Q26" s="26" t="s">
        <v>152</v>
      </c>
      <c r="R26" s="26" t="s">
        <v>147</v>
      </c>
      <c r="S26" s="26" t="s">
        <v>16</v>
      </c>
      <c r="U26" s="26">
        <v>6</v>
      </c>
      <c r="V26" s="26">
        <v>1</v>
      </c>
      <c r="W26" s="26">
        <v>2</v>
      </c>
      <c r="X26" s="26">
        <v>10</v>
      </c>
      <c r="Y26" s="27">
        <v>40</v>
      </c>
      <c r="Z26" s="26" t="str">
        <f t="shared" si="2"/>
        <v>Bill VanderclockIT 101MW07:30PM - 09:50PM</v>
      </c>
      <c r="AA26" t="str">
        <f t="shared" si="5"/>
        <v>Bill VanderclockMW07:30PM - 09:50PM</v>
      </c>
      <c r="AB26">
        <f t="shared" si="3"/>
        <v>0</v>
      </c>
      <c r="AC26">
        <f t="shared" si="6"/>
        <v>0</v>
      </c>
      <c r="AE26">
        <f t="shared" si="4"/>
        <v>1</v>
      </c>
    </row>
    <row r="27" spans="3:33" ht="15.75">
      <c r="C27">
        <v>1</v>
      </c>
      <c r="D27">
        <v>6</v>
      </c>
      <c r="E27" t="s">
        <v>49</v>
      </c>
      <c r="F27" t="s">
        <v>37</v>
      </c>
      <c r="G27">
        <f t="shared" si="1"/>
        <v>2</v>
      </c>
      <c r="H27">
        <f t="shared" si="0"/>
        <v>2</v>
      </c>
      <c r="I27" t="s">
        <v>62</v>
      </c>
      <c r="K27" s="6"/>
      <c r="L27" s="6"/>
      <c r="M27" s="6"/>
      <c r="N27" s="6"/>
      <c r="P27" s="25" t="s">
        <v>44</v>
      </c>
      <c r="Q27" s="26" t="s">
        <v>152</v>
      </c>
      <c r="R27" s="26" t="s">
        <v>101</v>
      </c>
      <c r="S27" s="26" t="s">
        <v>16</v>
      </c>
      <c r="U27" s="26">
        <v>6</v>
      </c>
      <c r="V27" s="26">
        <v>1</v>
      </c>
      <c r="W27" s="26">
        <v>7</v>
      </c>
      <c r="X27" s="26">
        <v>10</v>
      </c>
      <c r="Y27" s="27">
        <v>490</v>
      </c>
      <c r="Z27" s="26" t="str">
        <f t="shared" si="2"/>
        <v>Bill VanderclockIT 101W07:30PM - 09:50PM</v>
      </c>
      <c r="AA27" t="str">
        <f t="shared" si="5"/>
        <v>Bill VanderclockW07:30PM - 09:50PM</v>
      </c>
      <c r="AB27">
        <f t="shared" si="3"/>
        <v>0</v>
      </c>
      <c r="AC27">
        <f t="shared" si="6"/>
        <v>0</v>
      </c>
      <c r="AE27">
        <f t="shared" si="4"/>
        <v>1</v>
      </c>
    </row>
    <row r="28" spans="3:33" ht="15.75">
      <c r="C28">
        <v>1</v>
      </c>
      <c r="D28">
        <v>6</v>
      </c>
      <c r="E28" t="s">
        <v>49</v>
      </c>
      <c r="F28" t="s">
        <v>37</v>
      </c>
      <c r="G28">
        <f t="shared" si="1"/>
        <v>2</v>
      </c>
      <c r="H28">
        <f t="shared" si="0"/>
        <v>2</v>
      </c>
      <c r="I28" t="s">
        <v>63</v>
      </c>
      <c r="K28" s="6"/>
      <c r="L28" s="6"/>
      <c r="M28" s="6"/>
      <c r="N28" s="6"/>
      <c r="P28" s="25" t="s">
        <v>47</v>
      </c>
      <c r="Q28" s="26" t="s">
        <v>152</v>
      </c>
      <c r="R28" s="26" t="s">
        <v>86</v>
      </c>
      <c r="S28" s="26" t="s">
        <v>16</v>
      </c>
      <c r="U28" s="26">
        <v>10</v>
      </c>
      <c r="V28" s="26">
        <v>1</v>
      </c>
      <c r="W28" s="26">
        <v>8</v>
      </c>
      <c r="X28" s="26">
        <v>10</v>
      </c>
      <c r="Y28" s="27">
        <v>640</v>
      </c>
      <c r="Z28" s="26" t="str">
        <f t="shared" si="2"/>
        <v>David YatesIT 101R07:30PM - 09:50PM</v>
      </c>
      <c r="AA28" t="str">
        <f t="shared" si="5"/>
        <v>David YatesR07:30PM - 09:50PM</v>
      </c>
      <c r="AB28">
        <f t="shared" si="3"/>
        <v>0</v>
      </c>
      <c r="AC28">
        <f t="shared" si="6"/>
        <v>0</v>
      </c>
      <c r="AE28">
        <f t="shared" si="4"/>
        <v>1</v>
      </c>
    </row>
    <row r="29" spans="3:33" ht="15.75">
      <c r="C29">
        <v>1</v>
      </c>
      <c r="D29">
        <v>2</v>
      </c>
      <c r="E29" t="s">
        <v>28</v>
      </c>
      <c r="F29" t="s">
        <v>24</v>
      </c>
      <c r="G29">
        <f t="shared" si="1"/>
        <v>4</v>
      </c>
      <c r="H29">
        <f t="shared" si="0"/>
        <v>4</v>
      </c>
      <c r="I29" t="s">
        <v>27</v>
      </c>
      <c r="K29" s="6"/>
      <c r="L29" s="6"/>
      <c r="M29" s="6"/>
      <c r="N29" s="6"/>
      <c r="P29" s="25" t="s">
        <v>47</v>
      </c>
      <c r="Q29" s="26" t="s">
        <v>152</v>
      </c>
      <c r="R29" s="26" t="s">
        <v>181</v>
      </c>
      <c r="S29" s="26" t="s">
        <v>190</v>
      </c>
      <c r="U29" s="26">
        <v>10</v>
      </c>
      <c r="V29" s="26">
        <v>1</v>
      </c>
      <c r="W29" s="26">
        <v>5</v>
      </c>
      <c r="X29" s="26">
        <v>9</v>
      </c>
      <c r="Y29" s="27">
        <v>225</v>
      </c>
      <c r="Z29" s="26" t="str">
        <f t="shared" si="2"/>
        <v>David YatesIT 101TR06:30PM - 09:10PM</v>
      </c>
      <c r="AA29" t="str">
        <f t="shared" si="5"/>
        <v>David YatesTR06:30PM - 09:10PM</v>
      </c>
      <c r="AB29">
        <f t="shared" si="3"/>
        <v>0</v>
      </c>
      <c r="AC29">
        <f t="shared" si="6"/>
        <v>0</v>
      </c>
      <c r="AE29">
        <f t="shared" si="4"/>
        <v>1</v>
      </c>
    </row>
    <row r="30" spans="3:33" ht="15.75">
      <c r="C30">
        <v>1</v>
      </c>
      <c r="D30">
        <v>6</v>
      </c>
      <c r="E30" t="s">
        <v>49</v>
      </c>
      <c r="F30" t="s">
        <v>37</v>
      </c>
      <c r="G30">
        <f t="shared" si="1"/>
        <v>2</v>
      </c>
      <c r="H30">
        <f t="shared" si="0"/>
        <v>2</v>
      </c>
      <c r="I30" t="s">
        <v>58</v>
      </c>
      <c r="K30" s="6"/>
      <c r="L30" s="6"/>
      <c r="M30" s="6"/>
      <c r="N30" s="6"/>
      <c r="P30" s="25" t="s">
        <v>59</v>
      </c>
      <c r="Q30" s="26" t="s">
        <v>152</v>
      </c>
      <c r="R30" s="26" t="s">
        <v>79</v>
      </c>
      <c r="S30" s="26" t="s">
        <v>148</v>
      </c>
      <c r="U30" s="26">
        <v>9</v>
      </c>
      <c r="V30" s="26">
        <v>1</v>
      </c>
      <c r="W30" s="26">
        <v>1</v>
      </c>
      <c r="X30" s="26">
        <v>6</v>
      </c>
      <c r="Y30" s="27">
        <v>6</v>
      </c>
      <c r="Z30" s="26" t="str">
        <f t="shared" si="2"/>
        <v>David RudeIT 101M03:30PM - 04:50PM</v>
      </c>
      <c r="AA30" t="str">
        <f t="shared" si="5"/>
        <v>David RudeM03:30PM - 04:50PM</v>
      </c>
      <c r="AB30">
        <f t="shared" si="3"/>
        <v>0</v>
      </c>
      <c r="AC30">
        <f t="shared" si="6"/>
        <v>0</v>
      </c>
      <c r="AE30">
        <f t="shared" si="4"/>
        <v>1</v>
      </c>
    </row>
    <row r="31" spans="3:33" ht="15.75">
      <c r="C31">
        <v>1</v>
      </c>
      <c r="D31">
        <v>3</v>
      </c>
      <c r="E31" t="s">
        <v>36</v>
      </c>
      <c r="F31" t="s">
        <v>24</v>
      </c>
      <c r="G31">
        <f t="shared" si="1"/>
        <v>4</v>
      </c>
      <c r="H31">
        <f t="shared" si="0"/>
        <v>4</v>
      </c>
      <c r="I31" t="s">
        <v>35</v>
      </c>
      <c r="K31" s="6"/>
      <c r="L31" s="6"/>
      <c r="M31" s="6"/>
      <c r="N31" s="6"/>
      <c r="P31" s="25"/>
      <c r="Q31" s="26"/>
      <c r="R31" s="26"/>
      <c r="S31" s="26"/>
      <c r="U31" s="26"/>
      <c r="V31" s="26"/>
      <c r="W31" s="26"/>
      <c r="X31" s="26"/>
      <c r="Y31" s="27"/>
      <c r="Z31" s="26" t="str">
        <f t="shared" si="2"/>
        <v/>
      </c>
      <c r="AA31" t="str">
        <f t="shared" si="5"/>
        <v/>
      </c>
      <c r="AB31">
        <f t="shared" si="3"/>
        <v>34</v>
      </c>
      <c r="AC31">
        <f t="shared" si="6"/>
        <v>34</v>
      </c>
      <c r="AE31">
        <f t="shared" si="4"/>
        <v>35</v>
      </c>
    </row>
    <row r="32" spans="3:33" ht="15.75">
      <c r="C32">
        <v>1</v>
      </c>
      <c r="D32">
        <v>1</v>
      </c>
      <c r="E32" t="s">
        <v>26</v>
      </c>
      <c r="F32" t="s">
        <v>24</v>
      </c>
      <c r="G32">
        <f t="shared" si="1"/>
        <v>4</v>
      </c>
      <c r="H32">
        <f t="shared" si="0"/>
        <v>4</v>
      </c>
      <c r="I32" t="s">
        <v>38</v>
      </c>
      <c r="K32" s="6"/>
      <c r="L32" s="6"/>
      <c r="M32" s="6"/>
      <c r="N32" s="6"/>
      <c r="P32" s="25"/>
      <c r="Q32" s="26"/>
      <c r="R32" s="26"/>
      <c r="S32" s="26"/>
      <c r="U32" s="26"/>
      <c r="V32" s="26"/>
      <c r="W32" s="26"/>
      <c r="X32" s="26"/>
      <c r="Y32" s="27"/>
      <c r="Z32" s="26" t="str">
        <f t="shared" si="2"/>
        <v/>
      </c>
      <c r="AA32" t="str">
        <f t="shared" si="5"/>
        <v/>
      </c>
      <c r="AB32">
        <f t="shared" si="3"/>
        <v>34</v>
      </c>
      <c r="AC32">
        <f t="shared" si="6"/>
        <v>34</v>
      </c>
      <c r="AE32">
        <f t="shared" si="4"/>
        <v>35</v>
      </c>
    </row>
    <row r="33" spans="3:31" ht="15.75">
      <c r="C33">
        <v>1</v>
      </c>
      <c r="D33">
        <v>3</v>
      </c>
      <c r="E33" t="s">
        <v>36</v>
      </c>
      <c r="F33" t="s">
        <v>24</v>
      </c>
      <c r="G33">
        <f t="shared" si="1"/>
        <v>4</v>
      </c>
      <c r="H33">
        <f t="shared" si="0"/>
        <v>4</v>
      </c>
      <c r="I33" t="s">
        <v>40</v>
      </c>
      <c r="K33" s="6"/>
      <c r="L33" s="6"/>
      <c r="M33" s="6"/>
      <c r="N33" s="6"/>
      <c r="P33" s="25"/>
      <c r="Q33" s="26"/>
      <c r="R33" s="26"/>
      <c r="S33" s="26"/>
      <c r="U33" s="26"/>
      <c r="V33" s="26"/>
      <c r="W33" s="26"/>
      <c r="X33" s="26"/>
      <c r="Y33" s="27"/>
      <c r="Z33" s="26" t="str">
        <f t="shared" si="2"/>
        <v/>
      </c>
      <c r="AA33" t="str">
        <f t="shared" si="5"/>
        <v/>
      </c>
      <c r="AB33">
        <f t="shared" si="3"/>
        <v>34</v>
      </c>
      <c r="AC33">
        <f t="shared" si="6"/>
        <v>34</v>
      </c>
      <c r="AE33">
        <f t="shared" si="4"/>
        <v>35</v>
      </c>
    </row>
    <row r="34" spans="3:31" ht="15.75">
      <c r="G34" s="6"/>
      <c r="H34" s="6"/>
      <c r="P34" s="25"/>
      <c r="Q34" s="26"/>
      <c r="R34" s="26"/>
      <c r="S34" s="26"/>
      <c r="U34" s="26"/>
      <c r="V34" s="26"/>
      <c r="W34" s="26"/>
      <c r="X34" s="26"/>
      <c r="Y34" s="27"/>
      <c r="Z34" s="26" t="str">
        <f t="shared" si="2"/>
        <v/>
      </c>
      <c r="AA34" t="str">
        <f t="shared" si="5"/>
        <v/>
      </c>
      <c r="AB34">
        <f t="shared" si="3"/>
        <v>34</v>
      </c>
      <c r="AC34">
        <f t="shared" si="6"/>
        <v>34</v>
      </c>
      <c r="AE34">
        <f t="shared" si="4"/>
        <v>35</v>
      </c>
    </row>
    <row r="35" spans="3:31" ht="15.75">
      <c r="G35" s="6"/>
      <c r="H35" s="6"/>
      <c r="P35" s="25"/>
      <c r="Q35" s="26"/>
      <c r="R35" s="26"/>
      <c r="S35" s="26"/>
      <c r="U35" s="26"/>
      <c r="V35" s="26"/>
      <c r="W35" s="26"/>
      <c r="X35" s="26"/>
      <c r="Y35" s="27"/>
      <c r="Z35" s="26" t="str">
        <f t="shared" si="2"/>
        <v/>
      </c>
      <c r="AA35" t="str">
        <f t="shared" si="5"/>
        <v/>
      </c>
      <c r="AB35">
        <f t="shared" si="3"/>
        <v>34</v>
      </c>
      <c r="AC35">
        <f t="shared" si="6"/>
        <v>34</v>
      </c>
      <c r="AE35">
        <f t="shared" si="4"/>
        <v>35</v>
      </c>
    </row>
    <row r="36" spans="3:31" ht="15.75">
      <c r="G36" s="6"/>
      <c r="H36" s="6"/>
      <c r="P36" s="25"/>
      <c r="Q36" s="26"/>
      <c r="R36" s="26"/>
      <c r="S36" s="26"/>
      <c r="T36" s="26"/>
      <c r="U36" s="26"/>
      <c r="V36" s="26"/>
      <c r="W36" s="26"/>
      <c r="X36" s="26"/>
      <c r="Y36" s="27"/>
      <c r="Z36" s="26" t="str">
        <f t="shared" si="2"/>
        <v/>
      </c>
      <c r="AA36" t="str">
        <f t="shared" si="5"/>
        <v/>
      </c>
      <c r="AB36">
        <f t="shared" si="3"/>
        <v>34</v>
      </c>
      <c r="AC36">
        <f t="shared" si="6"/>
        <v>34</v>
      </c>
      <c r="AE36">
        <f t="shared" si="4"/>
        <v>35</v>
      </c>
    </row>
    <row r="37" spans="3:31" ht="15.75">
      <c r="G37" s="6"/>
      <c r="H37" s="6"/>
      <c r="P37" s="25"/>
      <c r="Q37" s="26"/>
      <c r="R37" s="26"/>
      <c r="S37" s="26"/>
      <c r="T37" s="26"/>
      <c r="U37" s="26"/>
      <c r="V37" s="26"/>
      <c r="W37" s="26"/>
      <c r="X37" s="26"/>
      <c r="Y37" s="27"/>
      <c r="Z37" s="26" t="str">
        <f t="shared" ref="Z37:Z65" si="7">_xlfn.CONCAT(P37,Q37,R37,S37)</f>
        <v/>
      </c>
      <c r="AA37" t="str">
        <f t="shared" si="5"/>
        <v/>
      </c>
      <c r="AB37">
        <f t="shared" si="3"/>
        <v>34</v>
      </c>
      <c r="AC37">
        <f t="shared" si="6"/>
        <v>34</v>
      </c>
      <c r="AE37">
        <f t="shared" si="4"/>
        <v>35</v>
      </c>
    </row>
    <row r="38" spans="3:31" ht="15.75">
      <c r="G38" s="6"/>
      <c r="H38" s="6"/>
      <c r="P38" s="25"/>
      <c r="Q38" s="26"/>
      <c r="R38" s="26"/>
      <c r="S38" s="26"/>
      <c r="T38" s="26"/>
      <c r="U38" s="26"/>
      <c r="V38" s="26"/>
      <c r="W38" s="26"/>
      <c r="X38" s="26"/>
      <c r="Y38" s="27"/>
      <c r="Z38" s="26" t="str">
        <f t="shared" si="7"/>
        <v/>
      </c>
      <c r="AA38" t="str">
        <f t="shared" si="5"/>
        <v/>
      </c>
      <c r="AB38">
        <f t="shared" si="3"/>
        <v>34</v>
      </c>
      <c r="AC38">
        <f t="shared" si="6"/>
        <v>34</v>
      </c>
      <c r="AE38">
        <f t="shared" si="4"/>
        <v>35</v>
      </c>
    </row>
    <row r="39" spans="3:31" ht="15.75">
      <c r="G39" s="6"/>
      <c r="H39" s="6"/>
      <c r="P39" s="25"/>
      <c r="Q39" s="26"/>
      <c r="R39" s="26"/>
      <c r="S39" s="26"/>
      <c r="T39" s="26"/>
      <c r="U39" s="26"/>
      <c r="V39" s="26"/>
      <c r="W39" s="26"/>
      <c r="X39" s="26"/>
      <c r="Y39" s="27"/>
      <c r="Z39" s="26" t="str">
        <f t="shared" si="7"/>
        <v/>
      </c>
      <c r="AA39" t="str">
        <f t="shared" si="5"/>
        <v/>
      </c>
      <c r="AB39">
        <f t="shared" si="3"/>
        <v>34</v>
      </c>
      <c r="AC39">
        <f t="shared" si="6"/>
        <v>34</v>
      </c>
      <c r="AE39">
        <f t="shared" si="4"/>
        <v>35</v>
      </c>
    </row>
    <row r="40" spans="3:31" ht="15.75">
      <c r="G40" s="6"/>
      <c r="H40" s="6"/>
      <c r="P40" s="25"/>
      <c r="Q40" s="26"/>
      <c r="R40" s="26"/>
      <c r="S40" s="26"/>
      <c r="T40" s="26"/>
      <c r="U40" s="26"/>
      <c r="V40" s="26"/>
      <c r="W40" s="26"/>
      <c r="X40" s="26"/>
      <c r="Y40" s="27"/>
      <c r="Z40" s="26" t="str">
        <f t="shared" si="7"/>
        <v/>
      </c>
      <c r="AA40" t="str">
        <f t="shared" si="5"/>
        <v/>
      </c>
      <c r="AB40">
        <f t="shared" si="3"/>
        <v>34</v>
      </c>
      <c r="AC40">
        <f t="shared" si="6"/>
        <v>34</v>
      </c>
      <c r="AE40">
        <f t="shared" si="4"/>
        <v>35</v>
      </c>
    </row>
    <row r="41" spans="3:31" ht="15.75">
      <c r="G41" s="6"/>
      <c r="H41" s="6"/>
      <c r="P41" s="25"/>
      <c r="Q41" s="26"/>
      <c r="R41" s="26"/>
      <c r="S41" s="26"/>
      <c r="T41" s="26"/>
      <c r="U41" s="26"/>
      <c r="V41" s="26"/>
      <c r="W41" s="26"/>
      <c r="X41" s="26"/>
      <c r="Y41" s="27"/>
      <c r="Z41" s="26" t="str">
        <f t="shared" si="7"/>
        <v/>
      </c>
      <c r="AA41" t="str">
        <f t="shared" si="5"/>
        <v/>
      </c>
      <c r="AB41">
        <f t="shared" si="3"/>
        <v>34</v>
      </c>
      <c r="AC41">
        <f t="shared" si="6"/>
        <v>34</v>
      </c>
    </row>
    <row r="42" spans="3:31" ht="15.75">
      <c r="G42" s="6"/>
      <c r="H42" s="6"/>
      <c r="P42" s="25"/>
      <c r="Q42" s="26"/>
      <c r="R42" s="26"/>
      <c r="S42" s="26"/>
      <c r="T42" s="26"/>
      <c r="U42" s="26"/>
      <c r="V42" s="26"/>
      <c r="W42" s="26"/>
      <c r="X42" s="26"/>
      <c r="Y42" s="27"/>
      <c r="Z42" s="26" t="str">
        <f t="shared" si="7"/>
        <v/>
      </c>
      <c r="AA42" t="str">
        <f t="shared" si="5"/>
        <v/>
      </c>
      <c r="AB42">
        <f t="shared" si="3"/>
        <v>34</v>
      </c>
      <c r="AC42">
        <f t="shared" si="6"/>
        <v>34</v>
      </c>
    </row>
    <row r="43" spans="3:31" ht="15.75">
      <c r="G43" s="6"/>
      <c r="H43" s="6"/>
      <c r="P43" s="25"/>
      <c r="Q43" s="26"/>
      <c r="R43" s="26"/>
      <c r="S43" s="26"/>
      <c r="T43" s="26"/>
      <c r="U43" s="26"/>
      <c r="V43" s="26"/>
      <c r="W43" s="26"/>
      <c r="X43" s="26"/>
      <c r="Y43" s="27"/>
      <c r="Z43" s="26" t="str">
        <f t="shared" si="7"/>
        <v/>
      </c>
      <c r="AA43" t="str">
        <f t="shared" si="5"/>
        <v/>
      </c>
      <c r="AB43">
        <f t="shared" si="3"/>
        <v>34</v>
      </c>
      <c r="AC43">
        <f t="shared" si="6"/>
        <v>34</v>
      </c>
    </row>
    <row r="44" spans="3:31" ht="15.75">
      <c r="G44" s="6"/>
      <c r="H44" s="6"/>
      <c r="P44" s="25"/>
      <c r="Q44" s="26"/>
      <c r="R44" s="26"/>
      <c r="S44" s="26"/>
      <c r="T44" s="26"/>
      <c r="U44" s="26"/>
      <c r="V44" s="26"/>
      <c r="W44" s="26"/>
      <c r="X44" s="26"/>
      <c r="Y44" s="27"/>
      <c r="Z44" s="26" t="str">
        <f t="shared" si="7"/>
        <v/>
      </c>
      <c r="AA44" t="str">
        <f t="shared" si="5"/>
        <v/>
      </c>
      <c r="AB44">
        <f t="shared" si="3"/>
        <v>34</v>
      </c>
      <c r="AC44">
        <f t="shared" si="6"/>
        <v>34</v>
      </c>
    </row>
    <row r="45" spans="3:31" ht="15.75">
      <c r="G45" s="6"/>
      <c r="H45" s="6"/>
      <c r="P45" s="25"/>
      <c r="Q45" s="26"/>
      <c r="R45" s="26"/>
      <c r="S45" s="26"/>
      <c r="T45" s="26"/>
      <c r="U45" s="26"/>
      <c r="V45" s="26"/>
      <c r="W45" s="26"/>
      <c r="X45" s="26"/>
      <c r="Y45" s="27"/>
      <c r="Z45" s="26" t="str">
        <f t="shared" si="7"/>
        <v/>
      </c>
      <c r="AA45" t="str">
        <f t="shared" si="5"/>
        <v/>
      </c>
      <c r="AB45">
        <f t="shared" si="3"/>
        <v>34</v>
      </c>
      <c r="AC45">
        <f t="shared" si="6"/>
        <v>34</v>
      </c>
    </row>
    <row r="46" spans="3:31" ht="15.75">
      <c r="G46" s="6"/>
      <c r="H46" s="6"/>
      <c r="P46" s="25"/>
      <c r="Q46" s="26"/>
      <c r="R46" s="26"/>
      <c r="S46" s="26"/>
      <c r="T46" s="26"/>
      <c r="U46" s="26"/>
      <c r="V46" s="26"/>
      <c r="W46" s="26"/>
      <c r="X46" s="26"/>
      <c r="Y46" s="27"/>
      <c r="Z46" s="26" t="str">
        <f t="shared" si="7"/>
        <v/>
      </c>
      <c r="AA46" t="str">
        <f t="shared" si="5"/>
        <v/>
      </c>
      <c r="AB46">
        <f t="shared" si="3"/>
        <v>34</v>
      </c>
      <c r="AC46">
        <f t="shared" si="6"/>
        <v>34</v>
      </c>
    </row>
    <row r="47" spans="3:31" ht="15.75">
      <c r="G47" s="6"/>
      <c r="H47" s="6"/>
      <c r="P47" s="25"/>
      <c r="Q47" s="26"/>
      <c r="R47" s="26"/>
      <c r="S47" s="26"/>
      <c r="T47" s="26"/>
      <c r="U47" s="26"/>
      <c r="V47" s="26"/>
      <c r="W47" s="26"/>
      <c r="X47" s="26"/>
      <c r="Y47" s="27"/>
      <c r="Z47" s="26" t="str">
        <f t="shared" si="7"/>
        <v/>
      </c>
      <c r="AA47" t="str">
        <f t="shared" si="5"/>
        <v/>
      </c>
      <c r="AB47">
        <f t="shared" si="3"/>
        <v>34</v>
      </c>
      <c r="AC47">
        <f t="shared" si="6"/>
        <v>34</v>
      </c>
    </row>
    <row r="48" spans="3:31" ht="15.75">
      <c r="G48" s="6"/>
      <c r="H48" s="6"/>
      <c r="P48" s="25"/>
      <c r="Q48" s="26"/>
      <c r="R48" s="26"/>
      <c r="S48" s="26"/>
      <c r="T48" s="26"/>
      <c r="U48" s="26"/>
      <c r="V48" s="26"/>
      <c r="W48" s="26"/>
      <c r="X48" s="26"/>
      <c r="Y48" s="27"/>
      <c r="Z48" s="26" t="str">
        <f t="shared" si="7"/>
        <v/>
      </c>
      <c r="AA48" t="str">
        <f t="shared" si="5"/>
        <v/>
      </c>
      <c r="AB48">
        <f t="shared" si="3"/>
        <v>34</v>
      </c>
      <c r="AC48">
        <f t="shared" si="6"/>
        <v>34</v>
      </c>
    </row>
    <row r="49" spans="7:29" ht="15.75">
      <c r="G49" s="6"/>
      <c r="H49" s="6"/>
      <c r="P49" s="25"/>
      <c r="Q49" s="26"/>
      <c r="R49" s="26"/>
      <c r="S49" s="26"/>
      <c r="T49" s="26"/>
      <c r="U49" s="26"/>
      <c r="V49" s="26"/>
      <c r="W49" s="26"/>
      <c r="X49" s="26"/>
      <c r="Y49" s="27"/>
      <c r="Z49" s="26" t="str">
        <f t="shared" si="7"/>
        <v/>
      </c>
      <c r="AA49" t="str">
        <f t="shared" si="5"/>
        <v/>
      </c>
      <c r="AB49">
        <f t="shared" si="3"/>
        <v>34</v>
      </c>
      <c r="AC49">
        <f t="shared" si="6"/>
        <v>34</v>
      </c>
    </row>
    <row r="50" spans="7:29" ht="15.75">
      <c r="G50" s="6"/>
      <c r="H50" s="6"/>
      <c r="P50" s="25"/>
      <c r="Q50" s="26"/>
      <c r="R50" s="26"/>
      <c r="S50" s="26"/>
      <c r="T50" s="26"/>
      <c r="U50" s="26"/>
      <c r="V50" s="26"/>
      <c r="W50" s="26"/>
      <c r="X50" s="26"/>
      <c r="Y50" s="27"/>
      <c r="Z50" s="26" t="str">
        <f t="shared" si="7"/>
        <v/>
      </c>
      <c r="AA50" t="str">
        <f t="shared" si="5"/>
        <v/>
      </c>
      <c r="AB50">
        <f t="shared" si="3"/>
        <v>34</v>
      </c>
      <c r="AC50">
        <f t="shared" si="6"/>
        <v>34</v>
      </c>
    </row>
    <row r="51" spans="7:29" ht="15.75">
      <c r="G51" s="6"/>
      <c r="H51" s="6"/>
      <c r="P51" s="25"/>
      <c r="Q51" s="26"/>
      <c r="R51" s="26"/>
      <c r="S51" s="26"/>
      <c r="T51" s="26"/>
      <c r="U51" s="26"/>
      <c r="V51" s="26"/>
      <c r="W51" s="26"/>
      <c r="X51" s="26"/>
      <c r="Y51" s="27"/>
      <c r="Z51" s="26" t="str">
        <f t="shared" si="7"/>
        <v/>
      </c>
      <c r="AA51" t="str">
        <f t="shared" si="5"/>
        <v/>
      </c>
      <c r="AB51">
        <f t="shared" si="3"/>
        <v>34</v>
      </c>
      <c r="AC51">
        <f t="shared" si="6"/>
        <v>34</v>
      </c>
    </row>
    <row r="52" spans="7:29" ht="15.75">
      <c r="G52" s="6"/>
      <c r="H52" s="6"/>
      <c r="P52" s="25"/>
      <c r="Q52" s="26"/>
      <c r="R52" s="26"/>
      <c r="S52" s="26"/>
      <c r="T52" s="26"/>
      <c r="U52" s="26"/>
      <c r="V52" s="26"/>
      <c r="W52" s="26"/>
      <c r="X52" s="26"/>
      <c r="Y52" s="27"/>
      <c r="Z52" s="26" t="str">
        <f t="shared" si="7"/>
        <v/>
      </c>
      <c r="AA52" t="str">
        <f t="shared" si="5"/>
        <v/>
      </c>
      <c r="AB52">
        <f t="shared" si="3"/>
        <v>34</v>
      </c>
      <c r="AC52">
        <f t="shared" si="6"/>
        <v>34</v>
      </c>
    </row>
    <row r="53" spans="7:29" ht="15.75">
      <c r="G53" s="6"/>
      <c r="H53" s="6"/>
      <c r="P53" s="25"/>
      <c r="Q53" s="26"/>
      <c r="R53" s="26"/>
      <c r="S53" s="26"/>
      <c r="T53" s="26"/>
      <c r="U53" s="26"/>
      <c r="V53" s="26"/>
      <c r="W53" s="26"/>
      <c r="X53" s="26"/>
      <c r="Y53" s="27"/>
      <c r="Z53" s="26" t="str">
        <f t="shared" si="7"/>
        <v/>
      </c>
      <c r="AA53" t="str">
        <f t="shared" si="5"/>
        <v/>
      </c>
      <c r="AB53">
        <f t="shared" si="3"/>
        <v>34</v>
      </c>
      <c r="AC53">
        <f t="shared" si="6"/>
        <v>34</v>
      </c>
    </row>
    <row r="54" spans="7:29" ht="15.75">
      <c r="G54" s="6"/>
      <c r="H54" s="6"/>
      <c r="P54" s="25"/>
      <c r="Q54" s="26"/>
      <c r="R54" s="26"/>
      <c r="S54" s="26"/>
      <c r="T54" s="26"/>
      <c r="U54" s="26"/>
      <c r="V54" s="26"/>
      <c r="W54" s="26"/>
      <c r="X54" s="26"/>
      <c r="Y54" s="27"/>
      <c r="Z54" s="26" t="str">
        <f t="shared" si="7"/>
        <v/>
      </c>
      <c r="AA54" t="str">
        <f t="shared" si="5"/>
        <v/>
      </c>
      <c r="AB54">
        <f t="shared" si="3"/>
        <v>34</v>
      </c>
      <c r="AC54">
        <f t="shared" si="6"/>
        <v>34</v>
      </c>
    </row>
    <row r="55" spans="7:29">
      <c r="P55" s="25"/>
      <c r="Q55" s="26"/>
      <c r="R55" s="26"/>
      <c r="S55" s="26"/>
      <c r="T55" s="26"/>
      <c r="U55" s="26"/>
      <c r="V55" s="26"/>
      <c r="W55" s="26"/>
      <c r="X55" s="26"/>
      <c r="Y55" s="27"/>
      <c r="Z55" s="26" t="str">
        <f t="shared" si="7"/>
        <v/>
      </c>
      <c r="AA55" t="str">
        <f t="shared" si="5"/>
        <v/>
      </c>
      <c r="AB55">
        <f t="shared" si="3"/>
        <v>34</v>
      </c>
      <c r="AC55">
        <f t="shared" si="6"/>
        <v>34</v>
      </c>
    </row>
    <row r="56" spans="7:29">
      <c r="P56" s="25"/>
      <c r="Q56" s="26"/>
      <c r="R56" s="26"/>
      <c r="S56" s="26"/>
      <c r="T56" s="26"/>
      <c r="U56" s="26"/>
      <c r="V56" s="26"/>
      <c r="W56" s="26"/>
      <c r="X56" s="26"/>
      <c r="Y56" s="27"/>
      <c r="Z56" s="26" t="str">
        <f t="shared" si="7"/>
        <v/>
      </c>
      <c r="AA56" t="str">
        <f t="shared" si="5"/>
        <v/>
      </c>
      <c r="AB56">
        <f t="shared" si="3"/>
        <v>34</v>
      </c>
      <c r="AC56">
        <f t="shared" si="6"/>
        <v>34</v>
      </c>
    </row>
    <row r="57" spans="7:29">
      <c r="P57" s="25"/>
      <c r="Q57" s="26"/>
      <c r="R57" s="26"/>
      <c r="S57" s="26"/>
      <c r="T57" s="26"/>
      <c r="U57" s="26"/>
      <c r="V57" s="26"/>
      <c r="W57" s="26"/>
      <c r="X57" s="26"/>
      <c r="Y57" s="27"/>
      <c r="Z57" s="26" t="str">
        <f t="shared" si="7"/>
        <v/>
      </c>
      <c r="AA57" t="str">
        <f t="shared" si="5"/>
        <v/>
      </c>
      <c r="AB57">
        <f t="shared" si="3"/>
        <v>34</v>
      </c>
      <c r="AC57">
        <f t="shared" si="6"/>
        <v>34</v>
      </c>
    </row>
    <row r="58" spans="7:29">
      <c r="P58" s="25"/>
      <c r="Q58" s="26"/>
      <c r="R58" s="26"/>
      <c r="S58" s="26"/>
      <c r="T58" s="26"/>
      <c r="U58" s="26"/>
      <c r="V58" s="26"/>
      <c r="W58" s="26"/>
      <c r="X58" s="26"/>
      <c r="Y58" s="27"/>
      <c r="Z58" s="26" t="str">
        <f t="shared" si="7"/>
        <v/>
      </c>
      <c r="AA58" t="str">
        <f t="shared" si="5"/>
        <v/>
      </c>
      <c r="AB58">
        <f t="shared" si="3"/>
        <v>34</v>
      </c>
      <c r="AC58">
        <f t="shared" si="6"/>
        <v>34</v>
      </c>
    </row>
    <row r="59" spans="7:29">
      <c r="P59" s="25"/>
      <c r="Q59" s="26"/>
      <c r="R59" s="26"/>
      <c r="S59" s="26"/>
      <c r="T59" s="26"/>
      <c r="U59" s="26"/>
      <c r="V59" s="26"/>
      <c r="W59" s="26"/>
      <c r="X59" s="26"/>
      <c r="Y59" s="27"/>
      <c r="Z59" s="26" t="str">
        <f t="shared" si="7"/>
        <v/>
      </c>
      <c r="AA59" t="str">
        <f t="shared" si="5"/>
        <v/>
      </c>
      <c r="AB59">
        <f t="shared" si="3"/>
        <v>34</v>
      </c>
      <c r="AC59">
        <f t="shared" si="6"/>
        <v>34</v>
      </c>
    </row>
    <row r="60" spans="7:29">
      <c r="P60" s="25"/>
      <c r="Q60" s="26"/>
      <c r="R60" s="26"/>
      <c r="S60" s="26"/>
      <c r="T60" s="26"/>
      <c r="U60" s="26"/>
      <c r="V60" s="26"/>
      <c r="W60" s="26"/>
      <c r="X60" s="26"/>
      <c r="Y60" s="27"/>
      <c r="Z60" s="26" t="str">
        <f t="shared" si="7"/>
        <v/>
      </c>
      <c r="AA60" t="str">
        <f t="shared" si="5"/>
        <v/>
      </c>
      <c r="AB60">
        <f t="shared" si="3"/>
        <v>34</v>
      </c>
      <c r="AC60">
        <f t="shared" si="6"/>
        <v>34</v>
      </c>
    </row>
    <row r="61" spans="7:29">
      <c r="P61" s="25"/>
      <c r="Q61" s="26"/>
      <c r="R61" s="26"/>
      <c r="S61" s="26"/>
      <c r="T61" s="26"/>
      <c r="U61" s="26"/>
      <c r="V61" s="26"/>
      <c r="W61" s="26"/>
      <c r="X61" s="26"/>
      <c r="Y61" s="27"/>
      <c r="Z61" s="26" t="str">
        <f t="shared" si="7"/>
        <v/>
      </c>
      <c r="AA61" t="str">
        <f t="shared" si="5"/>
        <v/>
      </c>
      <c r="AB61">
        <f t="shared" si="3"/>
        <v>34</v>
      </c>
      <c r="AC61">
        <f t="shared" si="6"/>
        <v>34</v>
      </c>
    </row>
    <row r="62" spans="7:29">
      <c r="P62" s="25"/>
      <c r="Q62" s="26"/>
      <c r="R62" s="26"/>
      <c r="S62" s="26"/>
      <c r="T62" s="26"/>
      <c r="U62" s="26"/>
      <c r="V62" s="26"/>
      <c r="W62" s="26"/>
      <c r="X62" s="26"/>
      <c r="Y62" s="27"/>
      <c r="Z62" s="26" t="str">
        <f t="shared" si="7"/>
        <v/>
      </c>
      <c r="AA62" t="str">
        <f t="shared" si="5"/>
        <v/>
      </c>
      <c r="AB62">
        <f t="shared" si="3"/>
        <v>34</v>
      </c>
      <c r="AC62">
        <f t="shared" si="6"/>
        <v>34</v>
      </c>
    </row>
    <row r="63" spans="7:29">
      <c r="P63" s="25"/>
      <c r="Q63" s="26"/>
      <c r="R63" s="26"/>
      <c r="S63" s="26"/>
      <c r="T63" s="26"/>
      <c r="U63" s="26"/>
      <c r="V63" s="26"/>
      <c r="W63" s="26"/>
      <c r="X63" s="26"/>
      <c r="Y63" s="27"/>
      <c r="Z63" s="26" t="str">
        <f t="shared" si="7"/>
        <v/>
      </c>
      <c r="AA63" t="str">
        <f t="shared" si="5"/>
        <v/>
      </c>
      <c r="AB63">
        <f t="shared" si="3"/>
        <v>34</v>
      </c>
      <c r="AC63">
        <f t="shared" si="6"/>
        <v>34</v>
      </c>
    </row>
    <row r="64" spans="7:29">
      <c r="P64" s="25"/>
      <c r="Q64" s="26"/>
      <c r="R64" s="26"/>
      <c r="S64" s="26"/>
      <c r="T64" s="26"/>
      <c r="U64" s="26"/>
      <c r="V64" s="26"/>
      <c r="W64" s="26"/>
      <c r="X64" s="26"/>
      <c r="Y64" s="27"/>
      <c r="Z64" s="26" t="str">
        <f t="shared" si="7"/>
        <v/>
      </c>
      <c r="AA64" t="str">
        <f t="shared" si="5"/>
        <v/>
      </c>
      <c r="AB64">
        <f t="shared" si="3"/>
        <v>34</v>
      </c>
      <c r="AC64">
        <f t="shared" si="6"/>
        <v>34</v>
      </c>
    </row>
    <row r="65" spans="16:29" ht="15.75" thickBot="1">
      <c r="P65" s="35"/>
      <c r="Q65" s="36"/>
      <c r="R65" s="36"/>
      <c r="S65" s="36"/>
      <c r="T65" s="36"/>
      <c r="U65" s="36"/>
      <c r="V65" s="36"/>
      <c r="W65" s="36"/>
      <c r="X65" s="36"/>
      <c r="Y65" s="37"/>
      <c r="Z65" s="26" t="str">
        <f t="shared" si="7"/>
        <v/>
      </c>
      <c r="AA65" t="str">
        <f t="shared" si="5"/>
        <v/>
      </c>
      <c r="AB65">
        <f t="shared" si="3"/>
        <v>34</v>
      </c>
      <c r="AC65">
        <f t="shared" si="6"/>
        <v>34</v>
      </c>
    </row>
    <row r="66" spans="16:29">
      <c r="AB66">
        <f t="shared" si="3"/>
        <v>34</v>
      </c>
      <c r="AC66">
        <f t="shared" si="6"/>
        <v>34</v>
      </c>
    </row>
  </sheetData>
  <sortState ref="I2:I54">
    <sortCondition ref="I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DropDown2">
              <controlPr defaultSize="0" autoLine="0" autoPict="0">
                <anchor moveWithCells="1">
                  <from>
                    <xdr:col>26</xdr:col>
                    <xdr:colOff>209550</xdr:colOff>
                    <xdr:row>5</xdr:row>
                    <xdr:rowOff>200025</xdr:rowOff>
                  </from>
                  <to>
                    <xdr:col>26</xdr:col>
                    <xdr:colOff>1543050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4" name="Drop Down 3">
              <controlPr defaultSize="0" autoLine="0" autoPict="0">
                <anchor moveWithCells="1">
                  <from>
                    <xdr:col>26</xdr:col>
                    <xdr:colOff>209550</xdr:colOff>
                    <xdr:row>7</xdr:row>
                    <xdr:rowOff>190500</xdr:rowOff>
                  </from>
                  <to>
                    <xdr:col>26</xdr:col>
                    <xdr:colOff>1543050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Drop Down 4">
              <controlPr defaultSize="0" autoLine="0" autoPict="0">
                <anchor moveWithCells="1">
                  <from>
                    <xdr:col>26</xdr:col>
                    <xdr:colOff>219075</xdr:colOff>
                    <xdr:row>10</xdr:row>
                    <xdr:rowOff>9525</xdr:rowOff>
                  </from>
                  <to>
                    <xdr:col>26</xdr:col>
                    <xdr:colOff>1552575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Drop Down 5">
              <controlPr defaultSize="0" autoLine="0" autoPict="0">
                <anchor moveWithCells="1">
                  <from>
                    <xdr:col>26</xdr:col>
                    <xdr:colOff>228600</xdr:colOff>
                    <xdr:row>12</xdr:row>
                    <xdr:rowOff>9525</xdr:rowOff>
                  </from>
                  <to>
                    <xdr:col>26</xdr:col>
                    <xdr:colOff>1562100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Group Box 6">
              <controlPr defaultSize="0" autoFill="0" autoPict="0">
                <anchor moveWithCells="1">
                  <from>
                    <xdr:col>25</xdr:col>
                    <xdr:colOff>1085850</xdr:colOff>
                    <xdr:row>4</xdr:row>
                    <xdr:rowOff>19050</xdr:rowOff>
                  </from>
                  <to>
                    <xdr:col>27</xdr:col>
                    <xdr:colOff>19050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8" name="Button 9">
              <controlPr defaultSize="0" print="0" autoFill="0" autoPict="0" macro="[0]!CopyDataButton_Click">
                <anchor moveWithCells="1" sizeWithCells="1">
                  <from>
                    <xdr:col>26</xdr:col>
                    <xdr:colOff>352425</xdr:colOff>
                    <xdr:row>13</xdr:row>
                    <xdr:rowOff>171450</xdr:rowOff>
                  </from>
                  <to>
                    <xdr:col>27</xdr:col>
                    <xdr:colOff>9525</xdr:colOff>
                    <xdr:row>16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size="15" baseType="lpstr">
      <vt:lpstr>Sheet1</vt:lpstr>
      <vt:lpstr>Faculity</vt:lpstr>
      <vt:lpstr>Courses</vt:lpstr>
      <vt:lpstr>Sheet2</vt:lpstr>
      <vt:lpstr>Sheet4</vt:lpstr>
      <vt:lpstr>MasterSheet</vt:lpstr>
      <vt:lpstr>CourseList</vt:lpstr>
      <vt:lpstr>Days</vt:lpstr>
      <vt:lpstr>Name</vt:lpstr>
      <vt:lpstr>ProfessorClass</vt:lpstr>
      <vt:lpstr>ProfFullTime</vt:lpstr>
      <vt:lpstr>ProfFullTimeUsed</vt:lpstr>
      <vt:lpstr>ProfPartTime</vt:lpstr>
      <vt:lpstr>ProfPartTimeUsed</vt:lpstr>
      <vt:lpstr>Times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Miller</dc:creator>
  <cp:lastModifiedBy>Gabriel Miller</cp:lastModifiedBy>
  <dcterms:created xsi:type="dcterms:W3CDTF">2018-02-07T17:03:39Z</dcterms:created>
  <dcterms:modified xsi:type="dcterms:W3CDTF">2018-02-19T14:43:20Z</dcterms:modified>
</cp:coreProperties>
</file>