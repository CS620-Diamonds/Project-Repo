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Miller\OneDrive - TechHoncho\Internal\Bentley\SP2018\CS620\Project\"/>
    </mc:Choice>
  </mc:AlternateContent>
  <xr:revisionPtr revIDLastSave="304" documentId="8_{621077B9-E401-4754-B263-2C631932869B}" xr6:coauthVersionLast="28" xr6:coauthVersionMax="28" xr10:uidLastSave="{A9425C04-C6A7-4D95-AA8E-A9D068B7EBF7}"/>
  <bookViews>
    <workbookView xWindow="0" yWindow="0" windowWidth="16605" windowHeight="10185" activeTab="5" xr2:uid="{C1C46FD2-3679-46FC-9279-7B323C354613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MasterSheet!$P$22:$P$65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7" i="6" l="1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22" i="6"/>
  <c r="Z36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22" i="6"/>
  <c r="AB25" i="6" l="1"/>
  <c r="AB24" i="6"/>
  <c r="AB23" i="6"/>
  <c r="AB26" i="6"/>
  <c r="AB22" i="6"/>
  <c r="AB27" i="6"/>
  <c r="AC23" i="6"/>
  <c r="AE27" i="6"/>
  <c r="AE39" i="6"/>
  <c r="AB58" i="6"/>
  <c r="AB50" i="6"/>
  <c r="AB42" i="6"/>
  <c r="AB30" i="6"/>
  <c r="AC62" i="6"/>
  <c r="AC54" i="6"/>
  <c r="AC42" i="6"/>
  <c r="AC30" i="6"/>
  <c r="AE28" i="6"/>
  <c r="AE36" i="6"/>
  <c r="AB65" i="6"/>
  <c r="AB57" i="6"/>
  <c r="AB49" i="6"/>
  <c r="AB41" i="6"/>
  <c r="AB33" i="6"/>
  <c r="AC65" i="6"/>
  <c r="AC61" i="6"/>
  <c r="AC57" i="6"/>
  <c r="AC53" i="6"/>
  <c r="AC49" i="6"/>
  <c r="AC45" i="6"/>
  <c r="AC41" i="6"/>
  <c r="AC37" i="6"/>
  <c r="AC33" i="6"/>
  <c r="AC29" i="6"/>
  <c r="AC25" i="6"/>
  <c r="AE23" i="6"/>
  <c r="AE35" i="6"/>
  <c r="AB62" i="6"/>
  <c r="AB38" i="6"/>
  <c r="AC58" i="6"/>
  <c r="AC46" i="6"/>
  <c r="AC38" i="6"/>
  <c r="AC26" i="6"/>
  <c r="AE32" i="6"/>
  <c r="AE40" i="6"/>
  <c r="AB61" i="6"/>
  <c r="AB53" i="6"/>
  <c r="AB45" i="6"/>
  <c r="AB37" i="6"/>
  <c r="AB29" i="6"/>
  <c r="AE25" i="6"/>
  <c r="AE29" i="6"/>
  <c r="AE33" i="6"/>
  <c r="AE37" i="6"/>
  <c r="AB64" i="6"/>
  <c r="AB60" i="6"/>
  <c r="AB56" i="6"/>
  <c r="AB52" i="6"/>
  <c r="AB48" i="6"/>
  <c r="AB44" i="6"/>
  <c r="AB40" i="6"/>
  <c r="AB36" i="6"/>
  <c r="AB32" i="6"/>
  <c r="AB28" i="6"/>
  <c r="AC64" i="6"/>
  <c r="AC60" i="6"/>
  <c r="AC56" i="6"/>
  <c r="AC52" i="6"/>
  <c r="AC48" i="6"/>
  <c r="AC44" i="6"/>
  <c r="AC40" i="6"/>
  <c r="AC36" i="6"/>
  <c r="AC32" i="6"/>
  <c r="AC28" i="6"/>
  <c r="AC24" i="6"/>
  <c r="AE31" i="6"/>
  <c r="AB66" i="6"/>
  <c r="AB54" i="6"/>
  <c r="AB46" i="6"/>
  <c r="AB34" i="6"/>
  <c r="AC66" i="6"/>
  <c r="AC50" i="6"/>
  <c r="AC34" i="6"/>
  <c r="AE24" i="6"/>
  <c r="AE22" i="6"/>
  <c r="AE26" i="6"/>
  <c r="AE30" i="6"/>
  <c r="AE34" i="6"/>
  <c r="AE38" i="6"/>
  <c r="AB63" i="6"/>
  <c r="AB59" i="6"/>
  <c r="AB55" i="6"/>
  <c r="AB51" i="6"/>
  <c r="AB47" i="6"/>
  <c r="AB43" i="6"/>
  <c r="AB39" i="6"/>
  <c r="AB35" i="6"/>
  <c r="AB31" i="6"/>
  <c r="AC22" i="6"/>
  <c r="AC63" i="6"/>
  <c r="AC59" i="6"/>
  <c r="AC55" i="6"/>
  <c r="AC51" i="6"/>
  <c r="AC47" i="6"/>
  <c r="AC43" i="6"/>
  <c r="AC39" i="6"/>
  <c r="AC35" i="6"/>
  <c r="AC31" i="6"/>
  <c r="AC27" i="6"/>
  <c r="W3" i="6"/>
  <c r="L18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" i="6"/>
  <c r="H2" i="6"/>
  <c r="Y3" i="6" l="1"/>
  <c r="V18" i="6"/>
  <c r="T19" i="6"/>
  <c r="U19" i="6"/>
  <c r="V19" i="6"/>
  <c r="U18" i="6"/>
  <c r="T18" i="6"/>
  <c r="S19" i="6"/>
  <c r="S18" i="6"/>
  <c r="X2" i="6" l="1"/>
  <c r="G17" i="6" l="1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2" i="6"/>
  <c r="V3" i="6" l="1"/>
  <c r="U3" i="6"/>
  <c r="T3" i="6"/>
  <c r="I18" i="2"/>
  <c r="AA3" i="6" l="1"/>
  <c r="Z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<sst xmlns="http://schemas.openxmlformats.org/spreadsheetml/2006/main" count="985" uniqueCount="248">
  <si>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</si>
  <si>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</si>
  <si>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</si>
  <si>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</si>
  <si>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</si>
  <si>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</si>
  <si>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</si>
  <si>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</si>
  <si>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</si>
  <si>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</si>
  <si>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</si>
  <si>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</si>
  <si>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</si>
  <si>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</si>
  <si>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</si>
  <si>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</si>
  <si>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</si>
  <si>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</si>
  <si>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</si>
  <si>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</si>
  <si>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</si>
  <si>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</si>
  <si>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</si>
  <si>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</si>
  <si>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</si>
  <si>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</si>
  <si>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</si>
  <si>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</si>
  <si>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</si>
  <si>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</si>
  <si>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</si>
  <si>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</si>
  <si>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</si>
  <si>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</si>
  <si>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</si>
  <si>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</si>
  <si>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</si>
  <si>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</si>
  <si>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</si>
  <si>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</si>
  <si>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</si>
  <si>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</si>
  <si>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</si>
  <si>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</si>
  <si>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</si>
  <si>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</si>
  <si>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</si>
  <si>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</si>
  <si>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</si>
  <si>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</si>
  <si>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</si>
  <si>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</si>
  <si>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</si>
  <si>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</si>
  <si>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</si>
  <si>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</si>
  <si>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</si>
  <si>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</si>
  <si>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</si>
  <si>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</si>
  <si>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</si>
  <si>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</si>
  <si>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</si>
  <si>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</si>
  <si>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</si>
  <si>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</si>
  <si>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</si>
  <si>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</si>
  <si>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</si>
  <si>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</si>
  <si>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</si>
  <si>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</si>
  <si>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</si>
  <si>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</si>
  <si>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</si>
  <si>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</si>
  <si>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</si>
  <si>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</si>
  <si>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</si>
  <si>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</si>
  <si>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</si>
  <si>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</si>
  <si>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</si>
  <si>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</si>
  <si>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</si>
  <si>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</si>
  <si>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</si>
  <si>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</si>
  <si>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</si>
  <si>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</si>
  <si>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</si>
  <si>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</si>
  <si>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</si>
  <si>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</si>
  <si>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</si>
  <si>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</si>
  <si>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</si>
  <si>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</si>
  <si>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</si>
  <si>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</si>
  <si>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</si>
  <si>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</si>
  <si>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</si>
  <si>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</si>
  <si>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</si>
  <si>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</si>
  <si>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</si>
  <si>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</si>
  <si>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</si>
  <si>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</si>
  <si>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</si>
  <si>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</si>
  <si>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</si>
  <si>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</si>
  <si>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</si>
  <si>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</si>
  <si>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</si>
  <si>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</si>
  <si>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</si>
  <si>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</si>
  <si>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</si>
  <si>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</si>
  <si>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</si>
  <si>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</si>
  <si>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</si>
  <si>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</si>
  <si>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</si>
  <si>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</si>
  <si>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</si>
  <si>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</si>
  <si>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</si>
  <si>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</si>
  <si>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</si>
  <si>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</si>
  <si>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</si>
  <si>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</si>
  <si>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</si>
  <si>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</si>
  <si>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</si>
  <si>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</si>
  <si>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</si>
  <si>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</si>
  <si>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</si>
  <si>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</si>
  <si>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</si>
  <si>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</si>
  <si>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</si>
  <si>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</si>
  <si>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</si>
  <si>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</si>
  <si>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</si>
  <si>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</si>
  <si>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</si>
  <si>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</si>
  <si>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</si>
  <si>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</si>
  <si>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</si>
  <si>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</si>
  <si>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</si>
  <si>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</si>
  <si>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</si>
  <si>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</si>
  <si>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</si>
  <si>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</si>
  <si>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</si>
  <si>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</si>
  <si>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</si>
  <si>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</si>
  <si>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</si>
  <si>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</si>
  <si>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</si>
  <si>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</si>
  <si>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</si>
  <si>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</si>
  <si>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</si>
  <si>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</si>
  <si>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</si>
  <si>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</si>
  <si>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</si>
  <si>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</si>
  <si>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</si>
  <si>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</si>
  <si>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</si>
  <si>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</si>
  <si>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</si>
  <si>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</si>
  <si>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</si>
  <si>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</si>
  <si>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</si>
  <si>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</si>
  <si>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</si>
  <si>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</si>
  <si>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</si>
  <si>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</si>
  <si>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</si>
  <si>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</si>
  <si>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</si>
  <si>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</si>
  <si>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</si>
  <si>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</si>
  <si>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</si>
  <si>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</si>
  <si>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</si>
  <si>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</si>
  <si>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</si>
  <si>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</si>
  <si>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</si>
  <si>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</si>
  <si>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</si>
  <si>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</si>
  <si>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</si>
  <si>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</si>
  <si>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</si>
  <si>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</si>
  <si>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</si>
  <si>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</si>
  <si>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</si>
  <si>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</si>
  <si>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</si>
  <si>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</si>
  <si>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</si>
  <si>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</si>
  <si>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</si>
  <si>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</si>
  <si>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</si>
  <si>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</si>
  <si>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</si>
  <si>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</si>
  <si>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</si>
  <si>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</si>
  <si>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</si>
  <si>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</si>
  <si>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</si>
  <si>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</si>
  <si>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</si>
  <si>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</si>
  <si>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</si>
  <si>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</si>
  <si>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</si>
  <si>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</si>
  <si>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NumberofClassesScheduled</t>
  </si>
  <si>
    <t>Error Message:</t>
  </si>
  <si>
    <t>AlreadySchedule at time slot</t>
  </si>
  <si>
    <t>DuplicateClassSchedulingCalc</t>
  </si>
  <si>
    <t>Already Scheduled at time Slot Calc</t>
  </si>
  <si>
    <t>DuplicateClassScheduling</t>
  </si>
  <si>
    <t>AlreadyScheduleAtTimeSlot</t>
  </si>
  <si>
    <t>CS 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</si>
</sst>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</font>
    <font>
      <sz val="14"/>
      <color rgb="FF00AAFF"/>
      <name val="Helvetica Neue"/>
    </font>
    <font>
      <sz val="14"/>
      <color rgb="FF333333"/>
      <name val="Helvetica Neue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0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Alignment="1">
      <alignment horizontal="right"/>
    </xf>
  </cellXfs>
  <cellStyles count="2">
    <cellStyle name="Normal" xfId="0" builtinId="0"/>
    <cellStyle name="Normal 2" xfId="1" xr:uid="{A21AA347-AFBB-4020-A4F1-AEDDD9843D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5" val="2"/>
</file>

<file path=xl/ctrlProps/ctrlProp6.xml><?xml version="1.0" encoding="utf-8"?>
<formControlPr xmlns="http://schemas.microsoft.com/office/spreadsheetml/2009/9/main" objectType="Drop" dropStyle="combo" dx="22" fmlaLink="$U$2" fmlaRange="$J$2:$J$19" noThreeD="1" sel="14" val="7"/>
</file>

<file path=xl/ctrlProps/ctrlProp7.xml><?xml version="1.0" encoding="utf-8"?>
<formControlPr xmlns="http://schemas.microsoft.com/office/spreadsheetml/2009/9/main" objectType="Drop" dropStyle="combo" dx="22" fmlaLink="$V$2" fmlaRange="$K$2:$K$9" noThreeD="1" sel="5" val="0"/>
</file>

<file path=xl/ctrlProps/ctrlProp8.xml><?xml version="1.0" encoding="utf-8"?>
<formControlPr xmlns="http://schemas.microsoft.com/office/spreadsheetml/2009/9/main" objectType="Drop" dropStyle="combo" dx="22" fmlaLink="$W$2" fmlaRange="$L$2:$L$11" noThreeD="1" sel="8" val="2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19050</xdr:rowOff>
        </xdr:from>
        <xdr:to>
          <xdr:col>12</xdr:col>
          <xdr:colOff>28575</xdr:colOff>
          <xdr:row>7</xdr:row>
          <xdr:rowOff>19050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14</xdr:row>
          <xdr:rowOff>0</xdr:rowOff>
        </xdr:from>
        <xdr:to>
          <xdr:col>10</xdr:col>
          <xdr:colOff>590550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19050</xdr:rowOff>
        </xdr:from>
        <xdr:to>
          <xdr:col>13</xdr:col>
          <xdr:colOff>0</xdr:colOff>
          <xdr:row>9</xdr:row>
          <xdr:rowOff>171450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5</xdr:row>
          <xdr:rowOff>200025</xdr:rowOff>
        </xdr:from>
        <xdr:to>
          <xdr:col>26</xdr:col>
          <xdr:colOff>1543050</xdr:colOff>
          <xdr:row>7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7</xdr:row>
          <xdr:rowOff>190500</xdr:rowOff>
        </xdr:from>
        <xdr:to>
          <xdr:col>26</xdr:col>
          <xdr:colOff>1543050</xdr:colOff>
          <xdr:row>8</xdr:row>
          <xdr:rowOff>190500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219075</xdr:colOff>
          <xdr:row>10</xdr:row>
          <xdr:rowOff>9525</xdr:rowOff>
        </xdr:from>
        <xdr:to>
          <xdr:col>26</xdr:col>
          <xdr:colOff>1552575</xdr:colOff>
          <xdr:row>11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12</xdr:row>
          <xdr:rowOff>9525</xdr:rowOff>
        </xdr:from>
        <xdr:to>
          <xdr:col>26</xdr:col>
          <xdr:colOff>1562100</xdr:colOff>
          <xdr:row>13</xdr:row>
          <xdr:rowOff>9525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1085850</xdr:colOff>
          <xdr:row>4</xdr:row>
          <xdr:rowOff>19050</xdr:rowOff>
        </xdr:from>
        <xdr:to>
          <xdr:col>27</xdr:col>
          <xdr:colOff>19050</xdr:colOff>
          <xdr:row>18</xdr:row>
          <xdr:rowOff>38100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352425</xdr:colOff>
          <xdr:row>13</xdr:row>
          <xdr:rowOff>171450</xdr:rowOff>
        </xdr:from>
        <xdr:to>
          <xdr:col>27</xdr:col>
          <xdr:colOff>9525</xdr:colOff>
          <xdr:row>16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1CFE-5233-4366-A645-8A9169B0054C}">
  <sheetPr codeName="Sheet1"/>
  <dimension ref="A2:O33"/>
  <sheetViews>
    <sheetView workbookViewId="0">
      <selection activeCell="M7" sqref="M7"/>
    </sheetView>
  </sheetViews>
  <sheetFormatPr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0.45915987015539583</v>
      </c>
      <c r="C2" t="str">
        <f ca="1">INDEX($A$2:$A$33,RANK($B2,$B$2:$B$33))</f>
        <v>Mimoza Dimodugno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0.91833759133102244</v>
      </c>
      <c r="C3" t="str">
        <f t="shared" ref="C3:C33" ca="1" si="1">INDEX($A$2:$A$33,RANK($B3,$B$2:$B$33))</f>
        <v>Tamara Babaian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0.15596632363544083</v>
      </c>
      <c r="C4" t="str">
        <f t="shared" ca="1" si="1"/>
        <v>David Rude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0.44088606673567565</v>
      </c>
      <c r="C5" t="str">
        <f t="shared" ca="1" si="1"/>
        <v>Andrea Jones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0.62121255021721922</v>
      </c>
      <c r="C6" t="str">
        <f t="shared" ca="1" si="1"/>
        <v>Jennifer Xu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0.77134717554118448</v>
      </c>
      <c r="C7" t="str">
        <f t="shared" ca="1" si="1"/>
        <v>James Pape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0.78939739880304582</v>
      </c>
      <c r="C8" t="str">
        <f t="shared" ca="1" si="1"/>
        <v>Xinru Page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0.14670457163262718</v>
      </c>
      <c r="C9" t="str">
        <f t="shared" ca="1" si="1"/>
        <v>Daniel Sheehan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0.93609299429067694</v>
      </c>
      <c r="C10" t="str">
        <f t="shared" ca="1" si="1"/>
        <v>Akram Ahmed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0.48918229612230024</v>
      </c>
      <c r="C11" t="str">
        <f t="shared" ca="1" si="1"/>
        <v>Anstasia Biggs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0.39965058379754048</v>
      </c>
      <c r="C12" t="str">
        <f t="shared" ca="1" si="1"/>
        <v>Matthew Macarty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0.68536376439730429</v>
      </c>
      <c r="C13" t="str">
        <f t="shared" ca="1" si="1"/>
        <v>Les Waguespack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0.74576275444322426</v>
      </c>
      <c r="C14" t="str">
        <f t="shared" ca="1" si="1"/>
        <v>Bill Schiano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0.79535744316518153</v>
      </c>
      <c r="C15" t="str">
        <f t="shared" ca="1" si="1"/>
        <v>Wendy Lucas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0.25895221516114064</v>
      </c>
      <c r="C16" t="str">
        <f t="shared" ca="1" si="1"/>
        <v>Anne Pugliese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0.5463565009088388</v>
      </c>
      <c r="C17" t="str">
        <f t="shared" ca="1" si="1"/>
        <v>Donald Aucoin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0.25620159168514234</v>
      </c>
      <c r="C18" t="str">
        <f t="shared" ca="1" si="1"/>
        <v>Trish Rice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0.52158551724592395</v>
      </c>
      <c r="C19" t="str">
        <f t="shared" ca="1" si="1"/>
        <v>Michael Banks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0.56039184051435587</v>
      </c>
      <c r="C20" t="str">
        <f t="shared" ca="1" si="1"/>
        <v>David Yates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0.73842260200540355</v>
      </c>
      <c r="C21" t="str">
        <f t="shared" ca="1" si="1"/>
        <v>Heikki Topi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0.44610461606824103</v>
      </c>
      <c r="C22" t="str">
        <f t="shared" ca="1" si="1"/>
        <v>Joed Graf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0.8843700777447413</v>
      </c>
      <c r="C23" t="str">
        <f t="shared" ca="1" si="1"/>
        <v>Jay Cooprider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0.82901318924228051</v>
      </c>
      <c r="C24" t="str">
        <f t="shared" ca="1" si="1"/>
        <v>Monica Garfield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0.15104882245771012</v>
      </c>
      <c r="C25" t="str">
        <f t="shared" ca="1" si="1"/>
        <v>Gaurav Shah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2.1456832280894456E-2</v>
      </c>
      <c r="C26" t="str">
        <f t="shared" ca="1" si="1"/>
        <v>Charles Wright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0.69034076329569616</v>
      </c>
      <c r="C27" t="str">
        <f t="shared" ca="1" si="1"/>
        <v>Bill Vanderclock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4.0521559494002601E-2</v>
      </c>
      <c r="C28" t="str">
        <f t="shared" ca="1" si="1"/>
        <v>Robert Stubbs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3.6659962909962984E-2</v>
      </c>
      <c r="C29" t="str">
        <f t="shared" ca="1" si="1"/>
        <v>Stephen Tracy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0.85874960613387941</v>
      </c>
      <c r="C30" t="str">
        <f t="shared" ca="1" si="1"/>
        <v>Mark Frydenberg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0.79654216715756876</v>
      </c>
      <c r="C31" t="str">
        <f t="shared" ca="1" si="1"/>
        <v>Vatche Ishakian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0.79418231033760112</v>
      </c>
      <c r="C32" t="str">
        <f t="shared" ca="1" si="1"/>
        <v>Elizabeth McCarron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0.27329092890525442</v>
      </c>
      <c r="C33" t="str">
        <f t="shared" ca="1" si="1"/>
        <v>Joseph Nezuh</v>
      </c>
      <c r="E33" t="str">
        <f t="shared" si="2"/>
        <v>Charles Wright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19050</xdr:rowOff>
                  </from>
                  <to>
                    <xdr:col>12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972BB-3FBA-4976-85C4-EC57167F51A2}">
  <sheetPr codeName="Sheet2"/>
  <dimension ref="A1:M34"/>
  <sheetViews>
    <sheetView workbookViewId="0">
      <selection activeCell="B2" sqref="B2:E34"/>
    </sheetView>
  </sheetViews>
  <sheetFormatPr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2">
              <controlPr defaultSize="0" autoLine="0" autoPict="0">
                <anchor moveWithCells="1">
                  <from>
                    <xdr:col>8</xdr:col>
                    <xdr:colOff>133350</xdr:colOff>
                    <xdr:row>14</xdr:row>
                    <xdr:rowOff>0</xdr:rowOff>
                  </from>
                  <to>
                    <xdr:col>10</xdr:col>
                    <xdr:colOff>590550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EC1AE-E95E-41C8-8768-86E148B3D8DE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5703125" style="5" customWidth="1"/>
    <col min="8" max="8" width="26.28515625" style="5" customWidth="1"/>
    <col min="9" max="9" width="27.5703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E158-F2FB-4CDF-9F78-34C965FD8AB5}">
  <sheetPr codeName="Sheet4"/>
  <dimension ref="A2:J19"/>
  <sheetViews>
    <sheetView workbookViewId="0">
      <selection activeCell="E16" sqref="E16"/>
    </sheetView>
  </sheetViews>
  <sheetFormatPr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19050</xdr:rowOff>
                  </from>
                  <to>
                    <xdr:col>13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81AD63-AF60-4F53-A922-1B564E2E310D}">
          <x14:formula1>
            <xm:f>MasterSheet!$I$2:$I$33</xm:f>
          </x14:formula1>
          <xm:sqref>G8</xm:sqref>
        </x14:dataValidation>
        <x14:dataValidation type="list" allowBlank="1" showInputMessage="1" showErrorMessage="1" xr:uid="{02638E93-08E0-41AD-A59C-DF65B29BC5BB}">
          <x14:formula1>
            <xm:f>MasterSheet!$J$2:$J$19</xm:f>
          </x14:formula1>
          <xm:sqref>H8</xm:sqref>
        </x14:dataValidation>
        <x14:dataValidation type="list" allowBlank="1" showInputMessage="1" showErrorMessage="1" xr:uid="{71E27EE4-1920-4698-B075-CBFB641978DF}">
          <x14:formula1>
            <xm:f>MasterSheet!$K$2:$K$8</xm:f>
          </x14:formula1>
          <xm:sqref>I8</xm:sqref>
        </x14:dataValidation>
        <x14:dataValidation type="list" allowBlank="1" showInputMessage="1" showErrorMessage="1" xr:uid="{DCA55582-644B-4D2C-AAFC-081CCD39DBC4}">
          <x14:formula1>
            <xm:f>MasterSheet!$L$4:$L$10</xm:f>
          </x14:formula1>
          <xm:sqref>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BD0C-69E1-410F-8C3B-5E85DE414700}">
  <sheetPr codeName="Sheet6"/>
  <dimension ref="A1"/>
  <sheetViews>
    <sheetView workbookViewId="0">
      <selection activeCell="G7" sqref="G7"/>
    </sheetView>
  </sheetViews>
  <sheetFormatPr defaultRowHeight="15"/>
  <cols>
    <col min="1" max="1" width="15" bestFit="1" customWidth="1"/>
    <col min="4" max="4" width="17.8554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85BE-DD73-47A9-8055-CEC64982EEAF}">
  <sheetPr codeName="Sheet5"/>
  <dimension ref="C1:AG66"/>
  <sheetViews>
    <sheetView tabSelected="1" topLeftCell="R1" workbookViewId="0">
      <selection activeCell="Z3" sqref="Z3"/>
    </sheetView>
  </sheetViews>
  <sheetFormatPr defaultRowHeight="15"/>
  <cols>
    <col min="3" max="3" width="19" bestFit="1" customWidth="1"/>
    <col min="5" max="5" width="18.5703125" bestFit="1" customWidth="1"/>
    <col min="6" max="6" width="10.7109375" bestFit="1" customWidth="1"/>
    <col min="7" max="7" width="7.85546875" customWidth="1"/>
    <col min="8" max="8" width="8" customWidth="1"/>
    <col min="10" max="10" width="20.85546875" customWidth="1"/>
    <col min="11" max="11" width="21.140625" customWidth="1"/>
    <col min="12" max="12" width="21.7109375" customWidth="1"/>
    <col min="13" max="13" width="25.140625" bestFit="1" customWidth="1"/>
    <col min="14" max="14" width="25.140625" customWidth="1"/>
    <col min="15" max="15" width="28.85546875" bestFit="1" customWidth="1"/>
    <col min="16" max="16" width="24.42578125" bestFit="1" customWidth="1"/>
    <col min="17" max="17" width="11.7109375" bestFit="1" customWidth="1"/>
    <col min="19" max="19" width="21.5703125" customWidth="1"/>
    <col min="20" max="20" width="19" customWidth="1"/>
    <col min="21" max="21" width="21.42578125" bestFit="1" customWidth="1"/>
    <col min="22" max="22" width="22.42578125" bestFit="1" customWidth="1"/>
    <col min="23" max="23" width="11.85546875" customWidth="1"/>
    <col min="24" max="24" width="15.42578125" bestFit="1" customWidth="1"/>
    <col min="25" max="25" width="15" customWidth="1"/>
    <col min="26" max="26" width="43.5703125" bestFit="1" customWidth="1"/>
    <col min="27" max="27" width="27" bestFit="1" customWidth="1"/>
    <col min="28" max="28" width="28.85546875" bestFit="1" customWidth="1"/>
    <col min="29" max="29" width="29.85546875" bestFit="1" customWidth="1"/>
  </cols>
  <sheetData>
    <row r="1" spans="3:28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240</v>
      </c>
      <c r="Z1" t="s">
        <v>245</v>
      </c>
      <c r="AA1" t="s">
        <v>246</v>
      </c>
    </row>
    <row r="2" spans="3:28" ht="15.75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>
        <f t="shared" ref="H2:H33" si="0">G2-COUNTIF(ProfessorClass,I2)</f>
        <v>4</v>
      </c>
      <c r="I2" t="s">
        <v>23</v>
      </c>
      <c r="J2" s="6" t="s">
        <v>152</v>
      </c>
      <c r="K2" s="6" t="s">
        <v>79</v>
      </c>
      <c r="L2" s="6" t="s">
        <v>159</v>
      </c>
      <c r="M2">
        <v>21</v>
      </c>
      <c r="O2" t="s">
        <v>79</v>
      </c>
      <c r="P2" s="18" t="s">
        <v>219</v>
      </c>
      <c r="Q2" t="s">
        <v>220</v>
      </c>
      <c r="R2" s="6"/>
      <c r="T2">
        <v>5</v>
      </c>
      <c r="U2">
        <v>14</v>
      </c>
      <c r="V2">
        <v>5</v>
      </c>
      <c r="W2">
        <v>8</v>
      </c>
      <c r="X2">
        <f>(V2*V2)*W2</f>
        <v>200</v>
      </c>
    </row>
    <row r="3" spans="3:28" ht="15.75">
      <c r="C3">
        <v>1</v>
      </c>
      <c r="D3">
        <v>6</v>
      </c>
      <c r="E3" t="s">
        <v>49</v>
      </c>
      <c r="F3" t="s">
        <v>37</v>
      </c>
      <c r="G3">
        <f t="shared" ref="G3:G33" si="1">IF(F3="FT",4,IF(F3="Adjunct",2,))</f>
        <v>2</v>
      </c>
      <c r="H3">
        <f t="shared" si="0"/>
        <v>2</v>
      </c>
      <c r="I3" t="s">
        <v>54</v>
      </c>
      <c r="J3" s="6" t="s">
        <v>146</v>
      </c>
      <c r="K3" s="6" t="s">
        <v>147</v>
      </c>
      <c r="L3" s="6" t="s">
        <v>161</v>
      </c>
      <c r="M3">
        <v>22</v>
      </c>
      <c r="O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Bill Schiano</v>
      </c>
      <c r="U3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CS 610</v>
      </c>
      <c r="V3" t="str">
        <f>IF(V2=1,"M",IF(V2=2,"MW",IF(V2=3,"MR",IF(V2=4,"T",IF(V2=5,"TR",IF(V2=6,"TF",IF(V2=7,"W",IF(V2=8,"R",))))))))</f>
        <v>TR</v>
      </c>
      <c r="W3" t="str">
        <f>IF(W2=1,"08:00AM - 09:20AM",IF(W2=2,"09:30AM - 10:50AM",IF(W2=3,"11:00AM - 01:50PM",IF(W2=4,"12:30PM - 01:50PM",IF(W2=5,"02:00PM - 03:20PM",IF(W2=6,"03:30PM - 04:50PM",IF(W2=7,"05:00PM - 06:20PM",IF(W2=8,"05:00PM - 07:20PM",IF(W2=9,"06:30PM - 09:10PM",IF(W2=10,"07:30PM - 09:50PM",))))))))))</f>
        <v>05:00PM - 07:20PM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1</v>
      </c>
      <c r="Z3" t="b">
        <f>IF((COUNTIF($Z$22:$Z$65,_xlfn.CONCAT($T$3,$U$3,$V$3,$W$3)))&gt;=1,TRUE,FALSE)</f>
        <v>1</v>
      </c>
      <c r="AA3">
        <f>IF(V3="M",COUNTIF(AA22:AA65,_xlfn.CONCAT(T3,V3,W3))+COUNTIF(AA22:AA65,_xlfn.CONCAT(T3,"MW",W3))+COUNTIF(AA22:AA65,_xlfn.CONCAT(T3,"MR",W3)),IF(V3="MW",COUNTIF(AA22:AA65,_xlfn.CONCAT(T3,V3,W3))+COUNTIF(AA22:AA65,_xlfn.CONCAT(T3,"M",W3))+COUNTIF(AA22:AA65,_xlfn.CONCAT(T3,"MR",W3))+COUNTIF(AA22:AA65,_xlfn.CONCAT(T3,"W",W3)),IF(V3="MR",COUNTIF(AA22:AA65,_xlfn.CONCAT(T3,V3,W3))+COUNTIF(AA22:AA65,_xlfn.CONCAT(T3,"M",W3))+COUNTIF(AA22:AA65,_xlfn.CONCAT(T3,"MW",W3))+COUNTIF(AA22:AA65,_xlfn.CONCAT(T3,"TR",W3)),IF(V3="T",COUNTIF(AA22:AA65,_xlfn.CONCAT(T3,V3,W3))+COUNTIF(AA22:AA65,_xlfn.CONCAT(T3,"TR",W3))+COUNTIF(AA22:AA65,_xlfn.CONCAT(T3,"TF",W3)),IF(V3="TR",COUNTIF(AA22:AA65,_xlfn.CONCAT(T3,V3,W3))+COUNTIF(AA22:AA65,_xlfn.CONCAT(T3,"T",W3))+COUNTIF(AA22:AA65,_xlfn.CONCAT(T3,"TF",W3))+COUNTIF(AA22:AA65,_xlfn.CONCAT(T3,"R",W3)),IF(V3="TF",COUNTIF(AA22:AA65,_xlfn.CONCAT(T3,V3,W3))+COUNTIF(AA22:AA65,_xlfn.CONCAT(T3,"T",W3))+COUNTIF(AA22:AA65,_xlfn.CONCAT(T3,"TR",W3)),IF(V3="W",COUNTIF(AA22:AA65,_xlfn.CONCAT(T3,V3,W3))+COUNTIF(AA22:AA65,_xlfn.CONCAT(T3,"MW",W3)),IF(V3="R",COUNTIF(AA22:AA65,_xlfn.CONCAT(T3,V3,W3))+COUNTIF(AA22:AA65,_xlfn.CONCAT(T3,"MR",W3))+COUNTIF(AA22:AA65,_xlfn.CONCAT(T3,"TR",W3)),FALSE))))))))</f>
        <v>1</v>
      </c>
    </row>
    <row r="4" spans="3:28" ht="15.75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>
        <f t="shared" si="0"/>
        <v>2</v>
      </c>
      <c r="I4" t="s">
        <v>57</v>
      </c>
      <c r="J4" s="6" t="s">
        <v>168</v>
      </c>
      <c r="K4" s="6" t="s">
        <v>126</v>
      </c>
      <c r="L4" s="6" t="s">
        <v>186</v>
      </c>
      <c r="M4">
        <v>23</v>
      </c>
      <c r="O4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75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>
        <f t="shared" si="0"/>
        <v>2</v>
      </c>
      <c r="I5" t="s">
        <v>51</v>
      </c>
      <c r="J5" s="6" t="s">
        <v>138</v>
      </c>
      <c r="K5" s="6" t="s">
        <v>96</v>
      </c>
      <c r="L5" s="6" t="s">
        <v>142</v>
      </c>
      <c r="M5">
        <v>24</v>
      </c>
      <c r="O5" t="s">
        <v>86</v>
      </c>
      <c r="P5" s="18" t="s">
        <v>219</v>
      </c>
      <c r="Q5" t="s">
        <v>220</v>
      </c>
      <c r="R5" s="6"/>
    </row>
    <row r="6" spans="3:28" ht="15.75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>
        <f t="shared" si="0"/>
        <v>1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t="s">
        <v>79</v>
      </c>
      <c r="P6" s="18" t="s">
        <v>220</v>
      </c>
      <c r="Q6" t="s">
        <v>221</v>
      </c>
      <c r="R6" s="6"/>
      <c r="S6" t="s">
        <v>241</v>
      </c>
    </row>
    <row r="7" spans="3:28" ht="15.75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t="s">
        <v>96</v>
      </c>
      <c r="P7" s="18" t="s">
        <v>220</v>
      </c>
      <c r="Q7" t="s">
        <v>221</v>
      </c>
      <c r="R7" s="6"/>
      <c r="Z7" s="39" t="s">
        <v>209</v>
      </c>
    </row>
    <row r="8" spans="3:28" ht="15.75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>
        <f t="shared" si="0"/>
        <v>2</v>
      </c>
      <c r="I8" t="s">
        <v>64</v>
      </c>
      <c r="J8" s="6" t="s">
        <v>165</v>
      </c>
      <c r="K8" s="6" t="s">
        <v>101</v>
      </c>
      <c r="L8" s="6" t="s">
        <v>155</v>
      </c>
      <c r="M8">
        <v>27</v>
      </c>
      <c r="O8" t="s">
        <v>101</v>
      </c>
      <c r="P8" s="18" t="s">
        <v>220</v>
      </c>
      <c r="Q8" t="s">
        <v>221</v>
      </c>
      <c r="R8" s="6"/>
      <c r="Z8" s="39"/>
    </row>
    <row r="9" spans="3:28" ht="15.75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>
        <f t="shared" si="0"/>
        <v>2</v>
      </c>
      <c r="I9" t="s">
        <v>61</v>
      </c>
      <c r="J9" s="6" t="s">
        <v>198</v>
      </c>
      <c r="K9" s="6" t="s">
        <v>86</v>
      </c>
      <c r="L9" s="6" t="s">
        <v>15</v>
      </c>
      <c r="M9">
        <v>28</v>
      </c>
      <c r="O9" t="s">
        <v>86</v>
      </c>
      <c r="P9" s="18" t="s">
        <v>220</v>
      </c>
      <c r="Q9" t="s">
        <v>221</v>
      </c>
      <c r="R9" s="6"/>
      <c r="Z9" s="39" t="s">
        <v>210</v>
      </c>
      <c r="AB9" s="6"/>
    </row>
    <row r="10" spans="3:28" ht="15.75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>
        <f t="shared" si="0"/>
        <v>2</v>
      </c>
      <c r="I10" t="s">
        <v>59</v>
      </c>
      <c r="J10" s="6" t="s">
        <v>171</v>
      </c>
      <c r="K10" s="6"/>
      <c r="L10" s="6" t="s">
        <v>190</v>
      </c>
      <c r="M10" s="6"/>
      <c r="N10" s="6"/>
      <c r="Z10" s="39"/>
      <c r="AB10" s="6"/>
    </row>
    <row r="11" spans="3:28" ht="16.5" thickBot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>
        <f t="shared" si="0"/>
        <v>4</v>
      </c>
      <c r="I11" t="s">
        <v>47</v>
      </c>
      <c r="J11" s="6" t="s">
        <v>182</v>
      </c>
      <c r="L11" s="6" t="s">
        <v>16</v>
      </c>
      <c r="M11" s="6"/>
      <c r="N11" s="6"/>
      <c r="Z11" s="39" t="s">
        <v>211</v>
      </c>
      <c r="AB11" s="6"/>
    </row>
    <row r="12" spans="3:28" ht="15.75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>
        <f t="shared" si="0"/>
        <v>2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  <c r="Z12" s="39"/>
      <c r="AB12" s="6"/>
    </row>
    <row r="13" spans="3:28" ht="15.75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>
        <f t="shared" si="0"/>
        <v>4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Z13" s="39" t="s">
        <v>212</v>
      </c>
      <c r="AB13" s="6"/>
    </row>
    <row r="14" spans="3:28" ht="30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>
        <f t="shared" si="0"/>
        <v>2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  <c r="AB14" s="6"/>
    </row>
    <row r="15" spans="3:28" ht="30.75" thickBot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>
        <f t="shared" si="0"/>
        <v>4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  <c r="AB15" s="6"/>
    </row>
    <row r="16" spans="3:28" ht="15.75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>
        <f t="shared" si="0"/>
        <v>4</v>
      </c>
      <c r="I16" t="s">
        <v>41</v>
      </c>
      <c r="J16" s="6" t="s">
        <v>83</v>
      </c>
      <c r="K16" s="21">
        <v>8</v>
      </c>
      <c r="Q16" s="6"/>
      <c r="R16" s="6"/>
      <c r="T16" s="6"/>
      <c r="AB16" s="6"/>
    </row>
    <row r="17" spans="3:33" ht="15.75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>
        <f t="shared" si="0"/>
        <v>4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>
        <f t="shared" si="0"/>
        <v>4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e">
        <f>_xlfn.CONCAT(INDEX($P$22:$Y$65,MATCH($S$14,$Y$22:$Y$65,0),1)," ",INDEX($P$22:$Y$65,MATCH($S$14,$Y$22:$Y$65,0),2))</f>
        <v>#N/A</v>
      </c>
      <c r="T18" s="20" t="e">
        <f>_xlfn.CONCAT(INDEX($P$22:$Y$65,MATCH($T$14,$Y$22:$Y$65,0),1)," ",INDEX($P$22:$Y$65,MATCH($T$14,$Y$22:$Y$65,0),2))</f>
        <v>#N/A</v>
      </c>
      <c r="U18" s="20" t="e">
        <f>_xlfn.CONCAT(INDEX($P$22:$Y$65,MATCH($U$14,$Y$22:$Y$65,0),1)," ",INDEX($P$22:$Y$65,MATCH($U$14,$Y$22:$Y$65,0),2))</f>
        <v>#N/A</v>
      </c>
      <c r="V18" s="20" t="e">
        <f>_xlfn.CONCAT(INDEX($P$22:$Y$65,MATCH($V$14,$Y$22:$Y$65,0),1)," ",INDEX($P$22:$Y$65,MATCH($V$14,$Y$22:$Y$65,0),2))</f>
        <v>#N/A</v>
      </c>
      <c r="W18" s="20" t="s">
        <v>227</v>
      </c>
    </row>
    <row r="19" spans="3:33" ht="30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>
        <f t="shared" si="0"/>
        <v>2</v>
      </c>
      <c r="I19" t="s">
        <v>53</v>
      </c>
      <c r="J19" s="6" t="s">
        <v>104</v>
      </c>
      <c r="K19" s="21"/>
      <c r="Q19" s="6"/>
      <c r="R19" s="19" t="s">
        <v>229</v>
      </c>
      <c r="S19" s="20" t="str">
        <f>_xlfn.CONCAT(INDEX($P$22:$Y$65,MATCH($S$15,$Y$22:$Y$65,0),1)," ",INDEX($P$22:$Y$65,MATCH($S$15,$Y$22:$Y$65,0),2))</f>
        <v>Bill Schiano CS 610</v>
      </c>
      <c r="T19" s="20" t="str">
        <f>_xlfn.CONCAT(INDEX($P$22:$Y$65,MATCH($T$15,$Y$22:$Y$65,0),1)," ",INDEX($P$22:$Y$65,MATCH($T$15,$Y$22:$Y$65,0),2))</f>
        <v>Bill Schiano CS 610</v>
      </c>
      <c r="U19" s="20" t="e">
        <f>_xlfn.CONCAT(INDEX($P$22:$Y$65,MATCH($U$15,$Y$22:$Y$65,0),1)," ",INDEX($P$22:$Y$65,MATCH($U$15,$Y$22:$Y$65,0),2))</f>
        <v>#N/A</v>
      </c>
      <c r="V19" s="20" t="e">
        <f>_xlfn.CONCAT(INDEX($P$22:$Y$65,MATCH($V$15,$Y$22:$Y$65,0),1)," ",INDEX($P$22:$Y$65,MATCH($V$15,$Y$22:$Y$65,0),2))</f>
        <v>#N/A</v>
      </c>
      <c r="W19" s="20" t="s">
        <v>227</v>
      </c>
    </row>
    <row r="20" spans="3:33" ht="16.5" thickBot="1">
      <c r="C20">
        <v>1</v>
      </c>
      <c r="D20">
        <v>6</v>
      </c>
      <c r="E20" t="s">
        <v>49</v>
      </c>
      <c r="F20" t="s">
        <v>37</v>
      </c>
      <c r="G20">
        <f t="shared" si="1"/>
        <v>2</v>
      </c>
      <c r="H20">
        <f t="shared" si="0"/>
        <v>2</v>
      </c>
      <c r="I20" t="s">
        <v>56</v>
      </c>
      <c r="K20" s="6"/>
      <c r="L20" s="6"/>
      <c r="M20" s="6"/>
      <c r="N20" s="6"/>
    </row>
    <row r="21" spans="3:33" ht="15.75">
      <c r="C21">
        <v>1</v>
      </c>
      <c r="D21">
        <v>1</v>
      </c>
      <c r="E21" t="s">
        <v>26</v>
      </c>
      <c r="F21" t="s">
        <v>24</v>
      </c>
      <c r="G21">
        <f t="shared" si="1"/>
        <v>4</v>
      </c>
      <c r="H21">
        <f t="shared" si="0"/>
        <v>4</v>
      </c>
      <c r="I21" t="s">
        <v>45</v>
      </c>
      <c r="K21" s="6"/>
      <c r="L21" s="6"/>
      <c r="N21" s="6"/>
      <c r="O21" s="6" t="s">
        <v>236</v>
      </c>
      <c r="P21" s="34" t="s">
        <v>26</v>
      </c>
      <c r="Q21" s="23" t="s">
        <v>66</v>
      </c>
      <c r="R21" s="23" t="s">
        <v>203</v>
      </c>
      <c r="S21" s="23" t="s">
        <v>204</v>
      </c>
      <c r="U21" s="23" t="s">
        <v>206</v>
      </c>
      <c r="V21" s="23" t="s">
        <v>230</v>
      </c>
      <c r="W21" s="23" t="s">
        <v>208</v>
      </c>
      <c r="X21" s="23" t="s">
        <v>231</v>
      </c>
      <c r="Y21" s="24" t="s">
        <v>233</v>
      </c>
      <c r="Z21" s="23" t="s">
        <v>245</v>
      </c>
      <c r="AA21" s="38" t="s">
        <v>242</v>
      </c>
      <c r="AB21" t="s">
        <v>243</v>
      </c>
      <c r="AC21" t="s">
        <v>244</v>
      </c>
    </row>
    <row r="22" spans="3:33" ht="15.75">
      <c r="C22">
        <v>1</v>
      </c>
      <c r="D22">
        <v>4</v>
      </c>
      <c r="E22" t="s">
        <v>25</v>
      </c>
      <c r="F22" t="s">
        <v>24</v>
      </c>
      <c r="G22">
        <f t="shared" si="1"/>
        <v>4</v>
      </c>
      <c r="H22">
        <f t="shared" si="0"/>
        <v>4</v>
      </c>
      <c r="I22" t="s">
        <v>32</v>
      </c>
      <c r="K22" s="6"/>
      <c r="L22" s="6"/>
      <c r="N22" s="6"/>
      <c r="O22" s="6"/>
      <c r="P22" s="25" t="s">
        <v>42</v>
      </c>
      <c r="Q22" s="26" t="s">
        <v>247</v>
      </c>
      <c r="R22" s="26" t="s">
        <v>86</v>
      </c>
      <c r="S22" s="26" t="s">
        <v>16</v>
      </c>
      <c r="U22" s="26">
        <v>5</v>
      </c>
      <c r="V22" s="26">
        <v>14</v>
      </c>
      <c r="W22" s="26">
        <v>1</v>
      </c>
      <c r="X22" s="26">
        <v>10</v>
      </c>
      <c r="Y22" s="27">
        <v>10</v>
      </c>
      <c r="Z22" s="26" t="str">
        <f t="shared" ref="Z22:Z36" si="2">_xlfn.CONCAT(P22,Q22,R22,S22)</f>
        <v>Bill SchianoCS 610R07:30PM - 09:50PM</v>
      </c>
      <c r="AA22" t="str">
        <f>_xlfn.CONCAT(P22,R22,S22)</f>
        <v>Bill SchianoR07:30PM - 09:50PM</v>
      </c>
      <c r="AB22">
        <f t="shared" ref="AB22:AB66" si="3">COUNTIF($Z$22:$Z$65,_xlfn.CONCAT($P22,$Q22,$R22,$S22))-1</f>
        <v>0</v>
      </c>
      <c r="AC22">
        <f>COUNTIF($AA$22:$AA$65,_xlfn.CONCAT(P22,R22,S22))-1</f>
        <v>0</v>
      </c>
      <c r="AE22">
        <f t="shared" ref="AE22:AE40" si="4">COUNTIF($Z$22:$Z$65,_xlfn.CONCAT($P22,$Q22,$R22,$S22))</f>
        <v>1</v>
      </c>
      <c r="AF22" s="20"/>
      <c r="AG22" s="20"/>
    </row>
    <row r="23" spans="3:33" ht="15.75">
      <c r="C23">
        <v>1</v>
      </c>
      <c r="D23">
        <v>6</v>
      </c>
      <c r="E23" t="s">
        <v>49</v>
      </c>
      <c r="F23" t="s">
        <v>37</v>
      </c>
      <c r="G23">
        <f t="shared" si="1"/>
        <v>2</v>
      </c>
      <c r="H23">
        <f t="shared" si="0"/>
        <v>2</v>
      </c>
      <c r="I23" t="s">
        <v>55</v>
      </c>
      <c r="K23" s="6"/>
      <c r="L23" s="6"/>
      <c r="N23" s="6"/>
      <c r="O23" s="6"/>
      <c r="P23" s="25" t="s">
        <v>42</v>
      </c>
      <c r="Q23" s="26" t="s">
        <v>247</v>
      </c>
      <c r="R23" s="26" t="s">
        <v>96</v>
      </c>
      <c r="S23" s="26" t="s">
        <v>16</v>
      </c>
      <c r="U23" s="26">
        <v>5</v>
      </c>
      <c r="V23" s="26">
        <v>14</v>
      </c>
      <c r="W23" s="26">
        <v>4</v>
      </c>
      <c r="X23" s="26">
        <v>10</v>
      </c>
      <c r="Y23" s="27">
        <v>160</v>
      </c>
      <c r="Z23" s="26" t="str">
        <f t="shared" si="2"/>
        <v>Bill SchianoCS 610T07:30PM - 09:50PM</v>
      </c>
      <c r="AA23" t="str">
        <f t="shared" ref="AA23:AA65" si="5">_xlfn.CONCAT(P23,R23,S23)</f>
        <v>Bill SchianoT07:30PM - 09:50PM</v>
      </c>
      <c r="AB23">
        <f t="shared" si="3"/>
        <v>0</v>
      </c>
      <c r="AC23">
        <f t="shared" ref="AC23:AC66" si="6">COUNTIF($AA$22:$AA$65,_xlfn.CONCAT(P23,R23,S23))-1</f>
        <v>0</v>
      </c>
      <c r="AE23">
        <f t="shared" si="4"/>
        <v>1</v>
      </c>
      <c r="AF23" s="20"/>
      <c r="AG23" s="20"/>
    </row>
    <row r="24" spans="3:33" ht="15.75">
      <c r="C24">
        <v>1</v>
      </c>
      <c r="D24">
        <v>6</v>
      </c>
      <c r="E24" t="s">
        <v>49</v>
      </c>
      <c r="F24" t="s">
        <v>37</v>
      </c>
      <c r="G24">
        <f t="shared" si="1"/>
        <v>2</v>
      </c>
      <c r="H24">
        <f t="shared" si="0"/>
        <v>2</v>
      </c>
      <c r="I24" t="s">
        <v>50</v>
      </c>
      <c r="K24" s="6"/>
      <c r="L24" s="6"/>
      <c r="M24" s="6"/>
      <c r="N24" s="6"/>
      <c r="P24" s="25" t="s">
        <v>42</v>
      </c>
      <c r="Q24" s="26" t="s">
        <v>247</v>
      </c>
      <c r="R24" s="26" t="s">
        <v>181</v>
      </c>
      <c r="S24" s="26" t="s">
        <v>15</v>
      </c>
      <c r="U24" s="26">
        <v>5</v>
      </c>
      <c r="V24" s="26">
        <v>14</v>
      </c>
      <c r="W24" s="26">
        <v>5</v>
      </c>
      <c r="X24" s="26">
        <v>8</v>
      </c>
      <c r="Y24" s="27">
        <v>200</v>
      </c>
      <c r="Z24" s="26" t="str">
        <f t="shared" si="2"/>
        <v>Bill SchianoCS 610TR05:00PM - 07:20PM</v>
      </c>
      <c r="AA24" t="str">
        <f t="shared" si="5"/>
        <v>Bill SchianoTR05:00PM - 07:20PM</v>
      </c>
      <c r="AB24">
        <f t="shared" si="3"/>
        <v>0</v>
      </c>
      <c r="AC24">
        <f t="shared" si="6"/>
        <v>0</v>
      </c>
      <c r="AE24">
        <f t="shared" si="4"/>
        <v>1</v>
      </c>
    </row>
    <row r="25" spans="3:33" ht="15.75">
      <c r="C25">
        <v>1</v>
      </c>
      <c r="D25">
        <v>6</v>
      </c>
      <c r="E25" t="s">
        <v>49</v>
      </c>
      <c r="F25" t="s">
        <v>37</v>
      </c>
      <c r="G25">
        <f t="shared" si="1"/>
        <v>2</v>
      </c>
      <c r="H25">
        <f t="shared" si="0"/>
        <v>2</v>
      </c>
      <c r="I25" t="s">
        <v>52</v>
      </c>
      <c r="K25" s="6"/>
      <c r="L25" s="6"/>
      <c r="M25" s="6"/>
      <c r="N25" s="6"/>
      <c r="P25" s="25"/>
      <c r="Q25" s="26"/>
      <c r="R25" s="26"/>
      <c r="S25" s="26"/>
      <c r="U25" s="26"/>
      <c r="V25" s="26"/>
      <c r="W25" s="26"/>
      <c r="X25" s="26"/>
      <c r="Y25" s="27"/>
      <c r="Z25" s="26" t="str">
        <f t="shared" si="2"/>
        <v/>
      </c>
      <c r="AA25" t="str">
        <f t="shared" si="5"/>
        <v/>
      </c>
      <c r="AB25">
        <f t="shared" si="3"/>
        <v>40</v>
      </c>
      <c r="AC25">
        <f t="shared" si="6"/>
        <v>40</v>
      </c>
      <c r="AE25">
        <f t="shared" si="4"/>
        <v>41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1"/>
        <v>4</v>
      </c>
      <c r="H26">
        <f t="shared" si="0"/>
        <v>4</v>
      </c>
      <c r="I26" t="s">
        <v>33</v>
      </c>
      <c r="K26" s="6"/>
      <c r="L26" s="6"/>
      <c r="M26" s="6"/>
      <c r="N26" s="6"/>
      <c r="P26" s="25"/>
      <c r="Q26" s="26"/>
      <c r="R26" s="26"/>
      <c r="S26" s="26"/>
      <c r="U26" s="26"/>
      <c r="V26" s="26"/>
      <c r="W26" s="26"/>
      <c r="X26" s="26"/>
      <c r="Y26" s="27"/>
      <c r="Z26" s="26" t="str">
        <f t="shared" si="2"/>
        <v/>
      </c>
      <c r="AA26" t="str">
        <f t="shared" si="5"/>
        <v/>
      </c>
      <c r="AB26">
        <f t="shared" si="3"/>
        <v>40</v>
      </c>
      <c r="AC26">
        <f t="shared" si="6"/>
        <v>40</v>
      </c>
      <c r="AE26">
        <f t="shared" si="4"/>
        <v>41</v>
      </c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1"/>
        <v>2</v>
      </c>
      <c r="H27">
        <f t="shared" si="0"/>
        <v>2</v>
      </c>
      <c r="I27" t="s">
        <v>62</v>
      </c>
      <c r="K27" s="6"/>
      <c r="L27" s="6"/>
      <c r="M27" s="6"/>
      <c r="N27" s="6"/>
      <c r="P27" s="25"/>
      <c r="Q27" s="26"/>
      <c r="R27" s="26"/>
      <c r="S27" s="26"/>
      <c r="U27" s="26"/>
      <c r="V27" s="26"/>
      <c r="W27" s="26"/>
      <c r="X27" s="26"/>
      <c r="Y27" s="27"/>
      <c r="Z27" s="26" t="str">
        <f t="shared" si="2"/>
        <v/>
      </c>
      <c r="AA27" t="str">
        <f t="shared" si="5"/>
        <v/>
      </c>
      <c r="AB27">
        <f t="shared" si="3"/>
        <v>40</v>
      </c>
      <c r="AC27">
        <f t="shared" si="6"/>
        <v>40</v>
      </c>
      <c r="AE27">
        <f t="shared" si="4"/>
        <v>41</v>
      </c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1"/>
        <v>2</v>
      </c>
      <c r="H28">
        <f t="shared" si="0"/>
        <v>2</v>
      </c>
      <c r="I28" t="s">
        <v>63</v>
      </c>
      <c r="K28" s="6"/>
      <c r="L28" s="6"/>
      <c r="M28" s="6"/>
      <c r="N28" s="6"/>
      <c r="P28" s="25"/>
      <c r="Q28" s="26"/>
      <c r="R28" s="26"/>
      <c r="S28" s="26"/>
      <c r="U28" s="26"/>
      <c r="V28" s="26"/>
      <c r="W28" s="26"/>
      <c r="X28" s="26"/>
      <c r="Y28" s="27"/>
      <c r="Z28" s="26" t="str">
        <f t="shared" si="2"/>
        <v/>
      </c>
      <c r="AA28" t="str">
        <f t="shared" si="5"/>
        <v/>
      </c>
      <c r="AB28">
        <f t="shared" si="3"/>
        <v>40</v>
      </c>
      <c r="AC28">
        <f t="shared" si="6"/>
        <v>40</v>
      </c>
      <c r="AE28">
        <f t="shared" si="4"/>
        <v>41</v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1"/>
        <v>4</v>
      </c>
      <c r="H29">
        <f t="shared" si="0"/>
        <v>4</v>
      </c>
      <c r="I29" t="s">
        <v>27</v>
      </c>
      <c r="K29" s="6"/>
      <c r="L29" s="6"/>
      <c r="M29" s="6"/>
      <c r="N29" s="6"/>
      <c r="P29" s="25"/>
      <c r="Q29" s="26"/>
      <c r="R29" s="26"/>
      <c r="S29" s="26"/>
      <c r="U29" s="26"/>
      <c r="V29" s="26"/>
      <c r="W29" s="26"/>
      <c r="X29" s="26"/>
      <c r="Y29" s="27"/>
      <c r="Z29" s="26" t="str">
        <f t="shared" si="2"/>
        <v/>
      </c>
      <c r="AA29" t="str">
        <f t="shared" si="5"/>
        <v/>
      </c>
      <c r="AB29">
        <f t="shared" si="3"/>
        <v>40</v>
      </c>
      <c r="AC29">
        <f t="shared" si="6"/>
        <v>40</v>
      </c>
      <c r="AE29">
        <f t="shared" si="4"/>
        <v>41</v>
      </c>
    </row>
    <row r="30" spans="3:33" ht="15.75">
      <c r="C30">
        <v>1</v>
      </c>
      <c r="D30">
        <v>6</v>
      </c>
      <c r="E30" t="s">
        <v>49</v>
      </c>
      <c r="F30" t="s">
        <v>37</v>
      </c>
      <c r="G30">
        <f t="shared" si="1"/>
        <v>2</v>
      </c>
      <c r="H30">
        <f t="shared" si="0"/>
        <v>2</v>
      </c>
      <c r="I30" t="s">
        <v>58</v>
      </c>
      <c r="K30" s="6"/>
      <c r="L30" s="6"/>
      <c r="M30" s="6"/>
      <c r="N30" s="6"/>
      <c r="P30" s="25"/>
      <c r="Q30" s="26"/>
      <c r="R30" s="26"/>
      <c r="S30" s="26"/>
      <c r="U30" s="26"/>
      <c r="V30" s="26"/>
      <c r="W30" s="26"/>
      <c r="X30" s="26"/>
      <c r="Y30" s="27"/>
      <c r="Z30" s="26" t="str">
        <f t="shared" si="2"/>
        <v/>
      </c>
      <c r="AA30" t="str">
        <f t="shared" si="5"/>
        <v/>
      </c>
      <c r="AB30">
        <f t="shared" si="3"/>
        <v>40</v>
      </c>
      <c r="AC30">
        <f t="shared" si="6"/>
        <v>40</v>
      </c>
      <c r="AE30">
        <f t="shared" si="4"/>
        <v>41</v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1"/>
        <v>4</v>
      </c>
      <c r="H31">
        <f t="shared" si="0"/>
        <v>4</v>
      </c>
      <c r="I31" t="s">
        <v>35</v>
      </c>
      <c r="K31" s="6"/>
      <c r="L31" s="6"/>
      <c r="M31" s="6"/>
      <c r="N31" s="6"/>
      <c r="P31" s="25"/>
      <c r="Q31" s="26"/>
      <c r="R31" s="26"/>
      <c r="S31" s="26"/>
      <c r="U31" s="26"/>
      <c r="V31" s="26"/>
      <c r="W31" s="26"/>
      <c r="X31" s="26"/>
      <c r="Y31" s="27"/>
      <c r="Z31" s="26" t="str">
        <f t="shared" si="2"/>
        <v/>
      </c>
      <c r="AA31" t="str">
        <f t="shared" si="5"/>
        <v/>
      </c>
      <c r="AB31">
        <f t="shared" si="3"/>
        <v>40</v>
      </c>
      <c r="AC31">
        <f t="shared" si="6"/>
        <v>40</v>
      </c>
      <c r="AE31">
        <f t="shared" si="4"/>
        <v>41</v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1"/>
        <v>4</v>
      </c>
      <c r="H32">
        <f t="shared" si="0"/>
        <v>4</v>
      </c>
      <c r="I32" t="s">
        <v>38</v>
      </c>
      <c r="K32" s="6"/>
      <c r="L32" s="6"/>
      <c r="M32" s="6"/>
      <c r="N32" s="6"/>
      <c r="P32" s="25"/>
      <c r="Q32" s="26"/>
      <c r="R32" s="26"/>
      <c r="S32" s="26"/>
      <c r="U32" s="26"/>
      <c r="V32" s="26"/>
      <c r="W32" s="26"/>
      <c r="X32" s="26"/>
      <c r="Y32" s="27"/>
      <c r="Z32" s="26" t="str">
        <f t="shared" si="2"/>
        <v/>
      </c>
      <c r="AA32" t="str">
        <f t="shared" si="5"/>
        <v/>
      </c>
      <c r="AB32">
        <f t="shared" si="3"/>
        <v>40</v>
      </c>
      <c r="AC32">
        <f t="shared" si="6"/>
        <v>40</v>
      </c>
      <c r="AE32">
        <f t="shared" si="4"/>
        <v>41</v>
      </c>
    </row>
    <row r="33" spans="3:31" ht="15.75">
      <c r="C33">
        <v>1</v>
      </c>
      <c r="D33">
        <v>3</v>
      </c>
      <c r="E33" t="s">
        <v>36</v>
      </c>
      <c r="F33" t="s">
        <v>24</v>
      </c>
      <c r="G33">
        <f t="shared" si="1"/>
        <v>4</v>
      </c>
      <c r="H33">
        <f t="shared" si="0"/>
        <v>4</v>
      </c>
      <c r="I33" t="s">
        <v>40</v>
      </c>
      <c r="K33" s="6"/>
      <c r="L33" s="6"/>
      <c r="M33" s="6"/>
      <c r="N33" s="6"/>
      <c r="P33" s="25"/>
      <c r="Q33" s="26"/>
      <c r="R33" s="26"/>
      <c r="S33" s="26"/>
      <c r="U33" s="26"/>
      <c r="V33" s="26"/>
      <c r="W33" s="26"/>
      <c r="X33" s="26"/>
      <c r="Y33" s="27"/>
      <c r="Z33" s="26" t="str">
        <f t="shared" si="2"/>
        <v/>
      </c>
      <c r="AA33" t="str">
        <f t="shared" si="5"/>
        <v/>
      </c>
      <c r="AB33">
        <f t="shared" si="3"/>
        <v>40</v>
      </c>
      <c r="AC33">
        <f t="shared" si="6"/>
        <v>40</v>
      </c>
      <c r="AE33">
        <f t="shared" si="4"/>
        <v>41</v>
      </c>
    </row>
    <row r="34" spans="3:31" ht="15.75">
      <c r="G34" s="6"/>
      <c r="H34" s="6"/>
      <c r="P34" s="25"/>
      <c r="Q34" s="26"/>
      <c r="R34" s="26"/>
      <c r="S34" s="26"/>
      <c r="U34" s="26"/>
      <c r="V34" s="26"/>
      <c r="W34" s="26"/>
      <c r="X34" s="26"/>
      <c r="Y34" s="27"/>
      <c r="Z34" s="26" t="str">
        <f t="shared" si="2"/>
        <v/>
      </c>
      <c r="AA34" t="str">
        <f t="shared" si="5"/>
        <v/>
      </c>
      <c r="AB34">
        <f t="shared" si="3"/>
        <v>40</v>
      </c>
      <c r="AC34">
        <f t="shared" si="6"/>
        <v>40</v>
      </c>
      <c r="AE34">
        <f t="shared" si="4"/>
        <v>41</v>
      </c>
    </row>
    <row r="35" spans="3:31" ht="15.75">
      <c r="G35" s="6"/>
      <c r="H35" s="6"/>
      <c r="P35" s="25"/>
      <c r="Q35" s="26"/>
      <c r="R35" s="26"/>
      <c r="S35" s="26"/>
      <c r="U35" s="26"/>
      <c r="V35" s="26"/>
      <c r="W35" s="26"/>
      <c r="X35" s="26"/>
      <c r="Y35" s="27"/>
      <c r="Z35" s="26" t="str">
        <f t="shared" si="2"/>
        <v/>
      </c>
      <c r="AA35" t="str">
        <f t="shared" si="5"/>
        <v/>
      </c>
      <c r="AB35">
        <f t="shared" si="3"/>
        <v>40</v>
      </c>
      <c r="AC35">
        <f t="shared" si="6"/>
        <v>40</v>
      </c>
      <c r="AE35">
        <f t="shared" si="4"/>
        <v>41</v>
      </c>
    </row>
    <row r="36" spans="3:31" ht="15.75">
      <c r="G36" s="6"/>
      <c r="H36" s="6"/>
      <c r="P36" s="25"/>
      <c r="Q36" s="26"/>
      <c r="R36" s="26"/>
      <c r="S36" s="26"/>
      <c r="T36" s="26"/>
      <c r="U36" s="26"/>
      <c r="V36" s="26"/>
      <c r="W36" s="26"/>
      <c r="X36" s="26"/>
      <c r="Y36" s="27"/>
      <c r="Z36" s="26" t="str">
        <f t="shared" si="2"/>
        <v/>
      </c>
      <c r="AA36" t="str">
        <f t="shared" si="5"/>
        <v/>
      </c>
      <c r="AB36">
        <f t="shared" si="3"/>
        <v>40</v>
      </c>
      <c r="AC36">
        <f t="shared" si="6"/>
        <v>40</v>
      </c>
      <c r="AE36">
        <f t="shared" si="4"/>
        <v>41</v>
      </c>
    </row>
    <row r="37" spans="3:31" ht="15.75">
      <c r="G37" s="6"/>
      <c r="H37" s="6"/>
      <c r="P37" s="25"/>
      <c r="Q37" s="26"/>
      <c r="R37" s="26"/>
      <c r="S37" s="26"/>
      <c r="T37" s="26"/>
      <c r="U37" s="26"/>
      <c r="V37" s="26"/>
      <c r="W37" s="26"/>
      <c r="X37" s="26"/>
      <c r="Y37" s="27"/>
      <c r="Z37" s="26" t="str">
        <f t="shared" ref="Z37:Z65" si="7">_xlfn.CONCAT(P37,Q37,R37,S37)</f>
        <v/>
      </c>
      <c r="AA37" t="str">
        <f t="shared" si="5"/>
        <v/>
      </c>
      <c r="AB37">
        <f t="shared" si="3"/>
        <v>40</v>
      </c>
      <c r="AC37">
        <f t="shared" si="6"/>
        <v>40</v>
      </c>
      <c r="AE37">
        <f t="shared" si="4"/>
        <v>41</v>
      </c>
    </row>
    <row r="38" spans="3:31" ht="15.75">
      <c r="G38" s="6"/>
      <c r="H38" s="6"/>
      <c r="P38" s="25"/>
      <c r="Q38" s="26"/>
      <c r="R38" s="26"/>
      <c r="S38" s="26"/>
      <c r="T38" s="26"/>
      <c r="U38" s="26"/>
      <c r="V38" s="26"/>
      <c r="W38" s="26"/>
      <c r="X38" s="26"/>
      <c r="Y38" s="27"/>
      <c r="Z38" s="26" t="str">
        <f t="shared" si="7"/>
        <v/>
      </c>
      <c r="AA38" t="str">
        <f t="shared" si="5"/>
        <v/>
      </c>
      <c r="AB38">
        <f t="shared" si="3"/>
        <v>40</v>
      </c>
      <c r="AC38">
        <f t="shared" si="6"/>
        <v>40</v>
      </c>
      <c r="AE38">
        <f t="shared" si="4"/>
        <v>41</v>
      </c>
    </row>
    <row r="39" spans="3:31" ht="15.75">
      <c r="G39" s="6"/>
      <c r="H39" s="6"/>
      <c r="P39" s="25"/>
      <c r="Q39" s="26"/>
      <c r="R39" s="26"/>
      <c r="S39" s="26"/>
      <c r="T39" s="26"/>
      <c r="U39" s="26"/>
      <c r="V39" s="26"/>
      <c r="W39" s="26"/>
      <c r="X39" s="26"/>
      <c r="Y39" s="27"/>
      <c r="Z39" s="26" t="str">
        <f t="shared" si="7"/>
        <v/>
      </c>
      <c r="AA39" t="str">
        <f t="shared" si="5"/>
        <v/>
      </c>
      <c r="AB39">
        <f t="shared" si="3"/>
        <v>40</v>
      </c>
      <c r="AC39">
        <f t="shared" si="6"/>
        <v>40</v>
      </c>
      <c r="AE39">
        <f t="shared" si="4"/>
        <v>41</v>
      </c>
    </row>
    <row r="40" spans="3:31" ht="15.75">
      <c r="G40" s="6"/>
      <c r="H40" s="6"/>
      <c r="P40" s="25"/>
      <c r="Q40" s="26"/>
      <c r="R40" s="26"/>
      <c r="S40" s="26"/>
      <c r="T40" s="26"/>
      <c r="U40" s="26"/>
      <c r="V40" s="26"/>
      <c r="W40" s="26"/>
      <c r="X40" s="26"/>
      <c r="Y40" s="27"/>
      <c r="Z40" s="26" t="str">
        <f t="shared" si="7"/>
        <v/>
      </c>
      <c r="AA40" t="str">
        <f t="shared" si="5"/>
        <v/>
      </c>
      <c r="AB40">
        <f t="shared" si="3"/>
        <v>40</v>
      </c>
      <c r="AC40">
        <f t="shared" si="6"/>
        <v>40</v>
      </c>
      <c r="AE40">
        <f t="shared" si="4"/>
        <v>41</v>
      </c>
    </row>
    <row r="41" spans="3:31" ht="15.75">
      <c r="G41" s="6"/>
      <c r="H41" s="6"/>
      <c r="P41" s="25"/>
      <c r="Q41" s="26"/>
      <c r="R41" s="26"/>
      <c r="S41" s="26"/>
      <c r="T41" s="26"/>
      <c r="U41" s="26"/>
      <c r="V41" s="26"/>
      <c r="W41" s="26"/>
      <c r="X41" s="26"/>
      <c r="Y41" s="27"/>
      <c r="Z41" s="26" t="str">
        <f t="shared" si="7"/>
        <v/>
      </c>
      <c r="AA41" t="str">
        <f t="shared" si="5"/>
        <v/>
      </c>
      <c r="AB41">
        <f t="shared" si="3"/>
        <v>40</v>
      </c>
      <c r="AC41">
        <f t="shared" si="6"/>
        <v>40</v>
      </c>
    </row>
    <row r="42" spans="3:31" ht="15.75">
      <c r="G42" s="6"/>
      <c r="H42" s="6"/>
      <c r="P42" s="25"/>
      <c r="Q42" s="26"/>
      <c r="R42" s="26"/>
      <c r="S42" s="26"/>
      <c r="T42" s="26"/>
      <c r="U42" s="26"/>
      <c r="V42" s="26"/>
      <c r="W42" s="26"/>
      <c r="X42" s="26"/>
      <c r="Y42" s="27"/>
      <c r="Z42" s="26" t="str">
        <f t="shared" si="7"/>
        <v/>
      </c>
      <c r="AA42" t="str">
        <f t="shared" si="5"/>
        <v/>
      </c>
      <c r="AB42">
        <f t="shared" si="3"/>
        <v>40</v>
      </c>
      <c r="AC42">
        <f t="shared" si="6"/>
        <v>40</v>
      </c>
    </row>
    <row r="43" spans="3:31" ht="15.75">
      <c r="G43" s="6"/>
      <c r="H43" s="6"/>
      <c r="P43" s="25"/>
      <c r="Q43" s="26"/>
      <c r="R43" s="26"/>
      <c r="S43" s="26"/>
      <c r="T43" s="26"/>
      <c r="U43" s="26"/>
      <c r="V43" s="26"/>
      <c r="W43" s="26"/>
      <c r="X43" s="26"/>
      <c r="Y43" s="27"/>
      <c r="Z43" s="26" t="str">
        <f t="shared" si="7"/>
        <v/>
      </c>
      <c r="AA43" t="str">
        <f t="shared" si="5"/>
        <v/>
      </c>
      <c r="AB43">
        <f t="shared" si="3"/>
        <v>40</v>
      </c>
      <c r="AC43">
        <f t="shared" si="6"/>
        <v>40</v>
      </c>
    </row>
    <row r="44" spans="3:31" ht="15.75">
      <c r="G44" s="6"/>
      <c r="H44" s="6"/>
      <c r="P44" s="25"/>
      <c r="Q44" s="26"/>
      <c r="R44" s="26"/>
      <c r="S44" s="26"/>
      <c r="T44" s="26"/>
      <c r="U44" s="26"/>
      <c r="V44" s="26"/>
      <c r="W44" s="26"/>
      <c r="X44" s="26"/>
      <c r="Y44" s="27"/>
      <c r="Z44" s="26" t="str">
        <f t="shared" si="7"/>
        <v/>
      </c>
      <c r="AA44" t="str">
        <f t="shared" si="5"/>
        <v/>
      </c>
      <c r="AB44">
        <f t="shared" si="3"/>
        <v>40</v>
      </c>
      <c r="AC44">
        <f t="shared" si="6"/>
        <v>40</v>
      </c>
    </row>
    <row r="45" spans="3:31" ht="15.75">
      <c r="G45" s="6"/>
      <c r="H45" s="6"/>
      <c r="P45" s="25"/>
      <c r="Q45" s="26"/>
      <c r="R45" s="26"/>
      <c r="S45" s="26"/>
      <c r="T45" s="26"/>
      <c r="U45" s="26"/>
      <c r="V45" s="26"/>
      <c r="W45" s="26"/>
      <c r="X45" s="26"/>
      <c r="Y45" s="27"/>
      <c r="Z45" s="26" t="str">
        <f t="shared" si="7"/>
        <v/>
      </c>
      <c r="AA45" t="str">
        <f t="shared" si="5"/>
        <v/>
      </c>
      <c r="AB45">
        <f t="shared" si="3"/>
        <v>40</v>
      </c>
      <c r="AC45">
        <f t="shared" si="6"/>
        <v>40</v>
      </c>
    </row>
    <row r="46" spans="3:31" ht="15.75">
      <c r="G46" s="6"/>
      <c r="H46" s="6"/>
      <c r="P46" s="25"/>
      <c r="Q46" s="26"/>
      <c r="R46" s="26"/>
      <c r="S46" s="26"/>
      <c r="T46" s="26"/>
      <c r="U46" s="26"/>
      <c r="V46" s="26"/>
      <c r="W46" s="26"/>
      <c r="X46" s="26"/>
      <c r="Y46" s="27"/>
      <c r="Z46" s="26" t="str">
        <f t="shared" si="7"/>
        <v/>
      </c>
      <c r="AA46" t="str">
        <f t="shared" si="5"/>
        <v/>
      </c>
      <c r="AB46">
        <f t="shared" si="3"/>
        <v>40</v>
      </c>
      <c r="AC46">
        <f t="shared" si="6"/>
        <v>40</v>
      </c>
    </row>
    <row r="47" spans="3:31" ht="15.75">
      <c r="G47" s="6"/>
      <c r="H47" s="6"/>
      <c r="P47" s="25"/>
      <c r="Q47" s="26"/>
      <c r="R47" s="26"/>
      <c r="S47" s="26"/>
      <c r="T47" s="26"/>
      <c r="U47" s="26"/>
      <c r="V47" s="26"/>
      <c r="W47" s="26"/>
      <c r="X47" s="26"/>
      <c r="Y47" s="27"/>
      <c r="Z47" s="26" t="str">
        <f t="shared" si="7"/>
        <v/>
      </c>
      <c r="AA47" t="str">
        <f t="shared" si="5"/>
        <v/>
      </c>
      <c r="AB47">
        <f t="shared" si="3"/>
        <v>40</v>
      </c>
      <c r="AC47">
        <f t="shared" si="6"/>
        <v>40</v>
      </c>
    </row>
    <row r="48" spans="3:31" ht="15.75">
      <c r="G48" s="6"/>
      <c r="H48" s="6"/>
      <c r="P48" s="25"/>
      <c r="Q48" s="26"/>
      <c r="R48" s="26"/>
      <c r="S48" s="26"/>
      <c r="T48" s="26"/>
      <c r="U48" s="26"/>
      <c r="V48" s="26"/>
      <c r="W48" s="26"/>
      <c r="X48" s="26"/>
      <c r="Y48" s="27"/>
      <c r="Z48" s="26" t="str">
        <f t="shared" si="7"/>
        <v/>
      </c>
      <c r="AA48" t="str">
        <f t="shared" si="5"/>
        <v/>
      </c>
      <c r="AB48">
        <f t="shared" si="3"/>
        <v>40</v>
      </c>
      <c r="AC48">
        <f t="shared" si="6"/>
        <v>40</v>
      </c>
    </row>
    <row r="49" spans="7:29" ht="15.75">
      <c r="G49" s="6"/>
      <c r="H49" s="6"/>
      <c r="P49" s="25"/>
      <c r="Q49" s="26"/>
      <c r="R49" s="26"/>
      <c r="S49" s="26"/>
      <c r="T49" s="26"/>
      <c r="U49" s="26"/>
      <c r="V49" s="26"/>
      <c r="W49" s="26"/>
      <c r="X49" s="26"/>
      <c r="Y49" s="27"/>
      <c r="Z49" s="26" t="str">
        <f t="shared" si="7"/>
        <v/>
      </c>
      <c r="AA49" t="str">
        <f t="shared" si="5"/>
        <v/>
      </c>
      <c r="AB49">
        <f t="shared" si="3"/>
        <v>40</v>
      </c>
      <c r="AC49">
        <f t="shared" si="6"/>
        <v>40</v>
      </c>
    </row>
    <row r="50" spans="7:29" ht="15.75">
      <c r="G50" s="6"/>
      <c r="H50" s="6"/>
      <c r="P50" s="25"/>
      <c r="Q50" s="26"/>
      <c r="R50" s="26"/>
      <c r="S50" s="26"/>
      <c r="T50" s="26"/>
      <c r="U50" s="26"/>
      <c r="V50" s="26"/>
      <c r="W50" s="26"/>
      <c r="X50" s="26"/>
      <c r="Y50" s="27"/>
      <c r="Z50" s="26" t="str">
        <f t="shared" si="7"/>
        <v/>
      </c>
      <c r="AA50" t="str">
        <f t="shared" si="5"/>
        <v/>
      </c>
      <c r="AB50">
        <f t="shared" si="3"/>
        <v>40</v>
      </c>
      <c r="AC50">
        <f t="shared" si="6"/>
        <v>40</v>
      </c>
    </row>
    <row r="51" spans="7:29" ht="15.75">
      <c r="G51" s="6"/>
      <c r="H51" s="6"/>
      <c r="P51" s="25"/>
      <c r="Q51" s="26"/>
      <c r="R51" s="26"/>
      <c r="S51" s="26"/>
      <c r="T51" s="26"/>
      <c r="U51" s="26"/>
      <c r="V51" s="26"/>
      <c r="W51" s="26"/>
      <c r="X51" s="26"/>
      <c r="Y51" s="27"/>
      <c r="Z51" s="26" t="str">
        <f t="shared" si="7"/>
        <v/>
      </c>
      <c r="AA51" t="str">
        <f t="shared" si="5"/>
        <v/>
      </c>
      <c r="AB51">
        <f t="shared" si="3"/>
        <v>40</v>
      </c>
      <c r="AC51">
        <f t="shared" si="6"/>
        <v>40</v>
      </c>
    </row>
    <row r="52" spans="7:29" ht="15.75">
      <c r="G52" s="6"/>
      <c r="H52" s="6"/>
      <c r="P52" s="25"/>
      <c r="Q52" s="26"/>
      <c r="R52" s="26"/>
      <c r="S52" s="26"/>
      <c r="T52" s="26"/>
      <c r="U52" s="26"/>
      <c r="V52" s="26"/>
      <c r="W52" s="26"/>
      <c r="X52" s="26"/>
      <c r="Y52" s="27"/>
      <c r="Z52" s="26" t="str">
        <f t="shared" si="7"/>
        <v/>
      </c>
      <c r="AA52" t="str">
        <f t="shared" si="5"/>
        <v/>
      </c>
      <c r="AB52">
        <f t="shared" si="3"/>
        <v>40</v>
      </c>
      <c r="AC52">
        <f t="shared" si="6"/>
        <v>40</v>
      </c>
    </row>
    <row r="53" spans="7:29" ht="15.75">
      <c r="G53" s="6"/>
      <c r="H53" s="6"/>
      <c r="P53" s="25"/>
      <c r="Q53" s="26"/>
      <c r="R53" s="26"/>
      <c r="S53" s="26"/>
      <c r="T53" s="26"/>
      <c r="U53" s="26"/>
      <c r="V53" s="26"/>
      <c r="W53" s="26"/>
      <c r="X53" s="26"/>
      <c r="Y53" s="27"/>
      <c r="Z53" s="26" t="str">
        <f t="shared" si="7"/>
        <v/>
      </c>
      <c r="AA53" t="str">
        <f t="shared" si="5"/>
        <v/>
      </c>
      <c r="AB53">
        <f t="shared" si="3"/>
        <v>40</v>
      </c>
      <c r="AC53">
        <f t="shared" si="6"/>
        <v>40</v>
      </c>
    </row>
    <row r="54" spans="7:29" ht="15.75">
      <c r="G54" s="6"/>
      <c r="H54" s="6"/>
      <c r="P54" s="25"/>
      <c r="Q54" s="26"/>
      <c r="R54" s="26"/>
      <c r="S54" s="26"/>
      <c r="T54" s="26"/>
      <c r="U54" s="26"/>
      <c r="V54" s="26"/>
      <c r="W54" s="26"/>
      <c r="X54" s="26"/>
      <c r="Y54" s="27"/>
      <c r="Z54" s="26" t="str">
        <f t="shared" si="7"/>
        <v/>
      </c>
      <c r="AA54" t="str">
        <f t="shared" si="5"/>
        <v/>
      </c>
      <c r="AB54">
        <f t="shared" si="3"/>
        <v>40</v>
      </c>
      <c r="AC54">
        <f t="shared" si="6"/>
        <v>40</v>
      </c>
    </row>
    <row r="55" spans="7:29">
      <c r="P55" s="25"/>
      <c r="Q55" s="26"/>
      <c r="R55" s="26"/>
      <c r="S55" s="26"/>
      <c r="T55" s="26"/>
      <c r="U55" s="26"/>
      <c r="V55" s="26"/>
      <c r="W55" s="26"/>
      <c r="X55" s="26"/>
      <c r="Y55" s="27"/>
      <c r="Z55" s="26" t="str">
        <f t="shared" si="7"/>
        <v/>
      </c>
      <c r="AA55" t="str">
        <f t="shared" si="5"/>
        <v/>
      </c>
      <c r="AB55">
        <f t="shared" si="3"/>
        <v>40</v>
      </c>
      <c r="AC55">
        <f t="shared" si="6"/>
        <v>40</v>
      </c>
    </row>
    <row r="56" spans="7:29">
      <c r="P56" s="25"/>
      <c r="Q56" s="26"/>
      <c r="R56" s="26"/>
      <c r="S56" s="26"/>
      <c r="T56" s="26"/>
      <c r="U56" s="26"/>
      <c r="V56" s="26"/>
      <c r="W56" s="26"/>
      <c r="X56" s="26"/>
      <c r="Y56" s="27"/>
      <c r="Z56" s="26" t="str">
        <f t="shared" si="7"/>
        <v/>
      </c>
      <c r="AA56" t="str">
        <f t="shared" si="5"/>
        <v/>
      </c>
      <c r="AB56">
        <f t="shared" si="3"/>
        <v>40</v>
      </c>
      <c r="AC56">
        <f t="shared" si="6"/>
        <v>40</v>
      </c>
    </row>
    <row r="57" spans="7:29">
      <c r="P57" s="25"/>
      <c r="Q57" s="26"/>
      <c r="R57" s="26"/>
      <c r="S57" s="26"/>
      <c r="T57" s="26"/>
      <c r="U57" s="26"/>
      <c r="V57" s="26"/>
      <c r="W57" s="26"/>
      <c r="X57" s="26"/>
      <c r="Y57" s="27"/>
      <c r="Z57" s="26" t="str">
        <f t="shared" si="7"/>
        <v/>
      </c>
      <c r="AA57" t="str">
        <f t="shared" si="5"/>
        <v/>
      </c>
      <c r="AB57">
        <f t="shared" si="3"/>
        <v>40</v>
      </c>
      <c r="AC57">
        <f t="shared" si="6"/>
        <v>40</v>
      </c>
    </row>
    <row r="58" spans="7:29">
      <c r="P58" s="25"/>
      <c r="Q58" s="26"/>
      <c r="R58" s="26"/>
      <c r="S58" s="26"/>
      <c r="T58" s="26"/>
      <c r="U58" s="26"/>
      <c r="V58" s="26"/>
      <c r="W58" s="26"/>
      <c r="X58" s="26"/>
      <c r="Y58" s="27"/>
      <c r="Z58" s="26" t="str">
        <f t="shared" si="7"/>
        <v/>
      </c>
      <c r="AA58" t="str">
        <f t="shared" si="5"/>
        <v/>
      </c>
      <c r="AB58">
        <f t="shared" si="3"/>
        <v>40</v>
      </c>
      <c r="AC58">
        <f t="shared" si="6"/>
        <v>40</v>
      </c>
    </row>
    <row r="59" spans="7:29">
      <c r="P59" s="25"/>
      <c r="Q59" s="26"/>
      <c r="R59" s="26"/>
      <c r="S59" s="26"/>
      <c r="T59" s="26"/>
      <c r="U59" s="26"/>
      <c r="V59" s="26"/>
      <c r="W59" s="26"/>
      <c r="X59" s="26"/>
      <c r="Y59" s="27"/>
      <c r="Z59" s="26" t="str">
        <f t="shared" si="7"/>
        <v/>
      </c>
      <c r="AA59" t="str">
        <f t="shared" si="5"/>
        <v/>
      </c>
      <c r="AB59">
        <f t="shared" si="3"/>
        <v>40</v>
      </c>
      <c r="AC59">
        <f t="shared" si="6"/>
        <v>40</v>
      </c>
    </row>
    <row r="60" spans="7:29">
      <c r="P60" s="25"/>
      <c r="Q60" s="26"/>
      <c r="R60" s="26"/>
      <c r="S60" s="26"/>
      <c r="T60" s="26"/>
      <c r="U60" s="26"/>
      <c r="V60" s="26"/>
      <c r="W60" s="26"/>
      <c r="X60" s="26"/>
      <c r="Y60" s="27"/>
      <c r="Z60" s="26" t="str">
        <f t="shared" si="7"/>
        <v/>
      </c>
      <c r="AA60" t="str">
        <f t="shared" si="5"/>
        <v/>
      </c>
      <c r="AB60">
        <f t="shared" si="3"/>
        <v>40</v>
      </c>
      <c r="AC60">
        <f t="shared" si="6"/>
        <v>40</v>
      </c>
    </row>
    <row r="61" spans="7:29">
      <c r="P61" s="25"/>
      <c r="Q61" s="26"/>
      <c r="R61" s="26"/>
      <c r="S61" s="26"/>
      <c r="T61" s="26"/>
      <c r="U61" s="26"/>
      <c r="V61" s="26"/>
      <c r="W61" s="26"/>
      <c r="X61" s="26"/>
      <c r="Y61" s="27"/>
      <c r="Z61" s="26" t="str">
        <f t="shared" si="7"/>
        <v/>
      </c>
      <c r="AA61" t="str">
        <f t="shared" si="5"/>
        <v/>
      </c>
      <c r="AB61">
        <f t="shared" si="3"/>
        <v>40</v>
      </c>
      <c r="AC61">
        <f t="shared" si="6"/>
        <v>40</v>
      </c>
    </row>
    <row r="62" spans="7:29">
      <c r="P62" s="25"/>
      <c r="Q62" s="26"/>
      <c r="R62" s="26"/>
      <c r="S62" s="26"/>
      <c r="T62" s="26"/>
      <c r="U62" s="26"/>
      <c r="V62" s="26"/>
      <c r="W62" s="26"/>
      <c r="X62" s="26"/>
      <c r="Y62" s="27"/>
      <c r="Z62" s="26" t="str">
        <f t="shared" si="7"/>
        <v/>
      </c>
      <c r="AA62" t="str">
        <f t="shared" si="5"/>
        <v/>
      </c>
      <c r="AB62">
        <f t="shared" si="3"/>
        <v>40</v>
      </c>
      <c r="AC62">
        <f t="shared" si="6"/>
        <v>40</v>
      </c>
    </row>
    <row r="63" spans="7:29">
      <c r="P63" s="25"/>
      <c r="Q63" s="26"/>
      <c r="R63" s="26"/>
      <c r="S63" s="26"/>
      <c r="T63" s="26"/>
      <c r="U63" s="26"/>
      <c r="V63" s="26"/>
      <c r="W63" s="26"/>
      <c r="X63" s="26"/>
      <c r="Y63" s="27"/>
      <c r="Z63" s="26" t="str">
        <f t="shared" si="7"/>
        <v/>
      </c>
      <c r="AA63" t="str">
        <f t="shared" si="5"/>
        <v/>
      </c>
      <c r="AB63">
        <f t="shared" si="3"/>
        <v>40</v>
      </c>
      <c r="AC63">
        <f t="shared" si="6"/>
        <v>40</v>
      </c>
    </row>
    <row r="64" spans="7:29">
      <c r="P64" s="25"/>
      <c r="Q64" s="26"/>
      <c r="R64" s="26"/>
      <c r="S64" s="26"/>
      <c r="T64" s="26"/>
      <c r="U64" s="26"/>
      <c r="V64" s="26"/>
      <c r="W64" s="26"/>
      <c r="X64" s="26"/>
      <c r="Y64" s="27"/>
      <c r="Z64" s="26" t="str">
        <f t="shared" si="7"/>
        <v/>
      </c>
      <c r="AA64" t="str">
        <f t="shared" si="5"/>
        <v/>
      </c>
      <c r="AB64">
        <f t="shared" si="3"/>
        <v>40</v>
      </c>
      <c r="AC64">
        <f t="shared" si="6"/>
        <v>40</v>
      </c>
    </row>
    <row r="65" spans="16:29" ht="15.75" thickBot="1">
      <c r="P65" s="35"/>
      <c r="Q65" s="36"/>
      <c r="R65" s="36"/>
      <c r="S65" s="36"/>
      <c r="T65" s="36"/>
      <c r="U65" s="36"/>
      <c r="V65" s="36"/>
      <c r="W65" s="36"/>
      <c r="X65" s="36"/>
      <c r="Y65" s="37"/>
      <c r="Z65" s="26" t="str">
        <f t="shared" si="7"/>
        <v/>
      </c>
      <c r="AA65" t="str">
        <f t="shared" si="5"/>
        <v/>
      </c>
      <c r="AB65">
        <f t="shared" si="3"/>
        <v>40</v>
      </c>
      <c r="AC65">
        <f t="shared" si="6"/>
        <v>40</v>
      </c>
    </row>
    <row r="66" spans="16:29">
      <c r="AB66">
        <f t="shared" si="3"/>
        <v>40</v>
      </c>
      <c r="AC66">
        <f t="shared" si="6"/>
        <v>40</v>
      </c>
    </row>
  </sheetData>
  <sortState ref="I2:I54">
    <sortCondition ref="I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26</xdr:col>
                    <xdr:colOff>209550</xdr:colOff>
                    <xdr:row>5</xdr:row>
                    <xdr:rowOff>200025</xdr:rowOff>
                  </from>
                  <to>
                    <xdr:col>26</xdr:col>
                    <xdr:colOff>1543050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26</xdr:col>
                    <xdr:colOff>209550</xdr:colOff>
                    <xdr:row>7</xdr:row>
                    <xdr:rowOff>190500</xdr:rowOff>
                  </from>
                  <to>
                    <xdr:col>26</xdr:col>
                    <xdr:colOff>1543050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26</xdr:col>
                    <xdr:colOff>219075</xdr:colOff>
                    <xdr:row>10</xdr:row>
                    <xdr:rowOff>9525</xdr:rowOff>
                  </from>
                  <to>
                    <xdr:col>26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26</xdr:col>
                    <xdr:colOff>228600</xdr:colOff>
                    <xdr:row>12</xdr:row>
                    <xdr:rowOff>9525</xdr:rowOff>
                  </from>
                  <to>
                    <xdr:col>26</xdr:col>
                    <xdr:colOff>1562100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25</xdr:col>
                    <xdr:colOff>1085850</xdr:colOff>
                    <xdr:row>4</xdr:row>
                    <xdr:rowOff>19050</xdr:rowOff>
                  </from>
                  <to>
                    <xdr:col>27</xdr:col>
                    <xdr:colOff>19050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26</xdr:col>
                    <xdr:colOff>352425</xdr:colOff>
                    <xdr:row>13</xdr:row>
                    <xdr:rowOff>171450</xdr:rowOff>
                  </from>
                  <to>
                    <xdr:col>27</xdr:col>
                    <xdr:colOff>9525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2018-02-19T18:32:56Z</dcterms:modified>
</cp:coreProperties>
</file>