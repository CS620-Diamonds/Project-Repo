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wnloads/"/>
    </mc:Choice>
  </mc:AlternateContent>
  <xr:revisionPtr revIDLastSave="0" documentId="12_ncr:500000_{35314F4D-6FC8-C749-A6E3-CB68F67FBC3E}" xr6:coauthVersionLast="31" xr6:coauthVersionMax="31" xr10:uidLastSave="{00000000-0000-0000-0000-000000000000}"/>
  <bookViews>
    <workbookView xWindow="0" yWindow="460" windowWidth="25200" windowHeight="16960" xr2:uid="{D69BECF1-FA33-4B80-9063-5EB7CE4143B0}"/>
  </bookViews>
  <sheets>
    <sheet name="Responses" sheetId="1" r:id="rId1"/>
    <sheet name="DataImport" sheetId="2" r:id="rId2"/>
  </sheets>
  <externalReferences>
    <externalReference r:id="rId3"/>
  </externalReferenc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D1" i="1"/>
  <c r="C1" i="1"/>
  <c r="B1" i="1"/>
  <c r="A1" i="1"/>
  <c r="F1" i="1" s="1"/>
</calcChain>
</file>

<file path=xl/sharedStrings.xml><?xml version="1.0" encoding="utf-8"?>
<sst xmlns="http://schemas.openxmlformats.org/spreadsheetml/2006/main" count="9" uniqueCount="9">
  <si>
    <t>M Graduate Early</t>
  </si>
  <si>
    <t>TimeBlock</t>
  </si>
  <si>
    <t>M Graduate Late</t>
  </si>
  <si>
    <t>T Graduate Early</t>
  </si>
  <si>
    <t>T Graduate Late</t>
  </si>
  <si>
    <t>W Graduate Early</t>
  </si>
  <si>
    <t>W Graduate Late</t>
  </si>
  <si>
    <t>R Graduate Early</t>
  </si>
  <si>
    <t>R Graduate 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</si>
</sst>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63500</xdr:rowOff>
        </xdr:from>
        <xdr:to>
          <xdr:col>12</xdr:col>
          <xdr:colOff>381000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9D0DFAE-FF0D-2B43-A67A-272D0547B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1: DELETE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584200</xdr:colOff>
          <xdr:row>4</xdr:row>
          <xdr:rowOff>88900</xdr:rowOff>
        </xdr:from>
        <xdr:to>
          <xdr:col>12</xdr:col>
          <xdr:colOff>368300</xdr:colOff>
          <xdr:row>6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182C229-5E2F-F34D-8F48-BAEDA186B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2. INITIALIZE SEMESTER INFORMATION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241300</xdr:colOff>
          <xdr:row>12</xdr:row>
          <xdr:rowOff>0</xdr:rowOff>
        </xdr:from>
        <xdr:to>
          <xdr:col>19</xdr:col>
          <xdr:colOff>533400</xdr:colOff>
          <xdr:row>14</xdr:row>
          <xdr:rowOff>50800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7686E76-F6C6-8643-8D73-18FF9E160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165100</xdr:rowOff>
        </xdr:from>
        <xdr:to>
          <xdr:col>12</xdr:col>
          <xdr:colOff>0</xdr:colOff>
          <xdr:row>10</xdr:row>
          <xdr:rowOff>25400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BAC74BA-3AE2-6648-9742-8F8720319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CREATE NEW SCHEDULE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393700</xdr:colOff>
          <xdr:row>11</xdr:row>
          <xdr:rowOff>50800</xdr:rowOff>
        </xdr:from>
        <xdr:to>
          <xdr:col>12</xdr:col>
          <xdr:colOff>12700</xdr:colOff>
          <xdr:row>13</xdr:row>
          <xdr:rowOff>101600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F1053CEB-5193-344C-A4FF-216230C72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4. ASSIGN COURSES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RPerfetto/Library/Containers/com.microsoft.Excel/Data/Library/Application%20Support/Microsoft/Schedule%20Survey%20v1%20-%20UPDATED%203-26-18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stions"/>
      <sheetName val="ProfessorAnswers"/>
      <sheetName val="Answers"/>
    </sheetNames>
    <sheetDataSet>
      <sheetData sheetId="0">
        <row r="8">
          <cell r="D8" t="str">
            <v>Wendy Lucas</v>
          </cell>
        </row>
        <row r="10">
          <cell r="D10" t="str">
            <v>Full-Time</v>
          </cell>
        </row>
        <row r="71">
          <cell r="D71" t="str">
            <v>Yes</v>
          </cell>
        </row>
      </sheetData>
      <sheetData sheetId="1"/>
      <sheetData sheetId="2">
        <row r="1">
          <cell r="V1" t="str">
            <v>Akram Ahmed</v>
          </cell>
          <cell r="W1">
            <v>4</v>
          </cell>
          <cell r="AB1">
            <v>1</v>
          </cell>
          <cell r="AC1">
            <v>2</v>
          </cell>
          <cell r="AD1">
            <v>4</v>
          </cell>
          <cell r="AE1">
            <v>5</v>
          </cell>
          <cell r="AF1">
            <v>7</v>
          </cell>
          <cell r="AG1">
            <v>9</v>
          </cell>
          <cell r="AH1">
            <v>10</v>
          </cell>
          <cell r="AI1">
            <v>12</v>
          </cell>
          <cell r="AJ1">
            <v>13</v>
          </cell>
          <cell r="AK1">
            <v>14</v>
          </cell>
          <cell r="AL1">
            <v>17</v>
          </cell>
          <cell r="AM1">
            <v>19</v>
          </cell>
          <cell r="AN1">
            <v>18</v>
          </cell>
          <cell r="AO1">
            <v>21</v>
          </cell>
          <cell r="AP1">
            <v>22</v>
          </cell>
          <cell r="AQ1">
            <v>25</v>
          </cell>
          <cell r="AR1">
            <v>23</v>
          </cell>
          <cell r="AS1">
            <v>26</v>
          </cell>
          <cell r="AT1">
            <v>27</v>
          </cell>
          <cell r="AU1" t="str">
            <v>-99</v>
          </cell>
          <cell r="AV1" t="str">
            <v>-99</v>
          </cell>
          <cell r="AW1" t="str">
            <v>-99</v>
          </cell>
          <cell r="AX1" t="str">
            <v>-99</v>
          </cell>
          <cell r="AY1" t="str">
            <v>-99</v>
          </cell>
          <cell r="AZ1" t="str">
            <v>-99</v>
          </cell>
          <cell r="BA1" t="str">
            <v>-99</v>
          </cell>
          <cell r="BB1" t="str">
            <v>-99</v>
          </cell>
        </row>
        <row r="2">
          <cell r="V2" t="str">
            <v>Tamara Babaian</v>
          </cell>
          <cell r="W2">
            <v>2</v>
          </cell>
        </row>
        <row r="3">
          <cell r="V3" t="str">
            <v>Jay Cooprider</v>
          </cell>
          <cell r="W3">
            <v>2</v>
          </cell>
          <cell r="AB3" t="str">
            <v>CS 603||100</v>
          </cell>
          <cell r="AC3" t="str">
            <v>CS 603||200</v>
          </cell>
          <cell r="AD3" t="str">
            <v>CS 605||100</v>
          </cell>
          <cell r="AE3" t="str">
            <v>CS 605||200</v>
          </cell>
          <cell r="AF3" t="str">
            <v>CS 605||HB1</v>
          </cell>
          <cell r="AG3" t="str">
            <v>CS 605||HB2</v>
          </cell>
          <cell r="AH3" t="str">
            <v>CS 607||1GU</v>
          </cell>
          <cell r="AI3" t="str">
            <v>CS 440||EGU</v>
          </cell>
          <cell r="AJ3" t="str">
            <v>CS 610 ||100</v>
          </cell>
          <cell r="AK3" t="str">
            <v>CS 620||100</v>
          </cell>
        </row>
        <row r="4">
          <cell r="V4" t="str">
            <v>Mark Frydenberg</v>
          </cell>
          <cell r="W4">
            <v>4</v>
          </cell>
        </row>
        <row r="5">
          <cell r="V5" t="str">
            <v>Monica Garfield</v>
          </cell>
          <cell r="W5">
            <v>2</v>
          </cell>
        </row>
        <row r="6">
          <cell r="V6" t="str">
            <v>Vatche Ishakian</v>
          </cell>
          <cell r="W6">
            <v>3</v>
          </cell>
        </row>
        <row r="7">
          <cell r="V7" t="str">
            <v>Wendy Lucas</v>
          </cell>
          <cell r="W7">
            <v>1</v>
          </cell>
        </row>
        <row r="8">
          <cell r="V8" t="str">
            <v>Elizabeth McCarron</v>
          </cell>
          <cell r="W8">
            <v>5</v>
          </cell>
        </row>
        <row r="9">
          <cell r="V9" t="str">
            <v>Xinru Page</v>
          </cell>
          <cell r="W9">
            <v>3</v>
          </cell>
        </row>
        <row r="10">
          <cell r="V10" t="str">
            <v>James Pape</v>
          </cell>
          <cell r="W10">
            <v>4</v>
          </cell>
        </row>
        <row r="11">
          <cell r="V11" t="str">
            <v>Bill Schiano</v>
          </cell>
          <cell r="W11">
            <v>1</v>
          </cell>
        </row>
        <row r="12">
          <cell r="V12" t="str">
            <v>Heikki Topi</v>
          </cell>
          <cell r="W12">
            <v>1</v>
          </cell>
        </row>
        <row r="13">
          <cell r="V13" t="str">
            <v>Bill Vanderclock</v>
          </cell>
          <cell r="W13">
            <v>4</v>
          </cell>
        </row>
        <row r="14">
          <cell r="V14" t="str">
            <v>Les Waguespack</v>
          </cell>
          <cell r="W14">
            <v>1</v>
          </cell>
        </row>
        <row r="15">
          <cell r="V15" t="str">
            <v>Jennifer Xu</v>
          </cell>
          <cell r="W15">
            <v>2</v>
          </cell>
        </row>
        <row r="16">
          <cell r="V16" t="str">
            <v>David Yates</v>
          </cell>
          <cell r="W16">
            <v>2</v>
          </cell>
        </row>
        <row r="17">
          <cell r="V17" t="str">
            <v>Donald Aucoin</v>
          </cell>
          <cell r="W17">
            <v>6</v>
          </cell>
        </row>
        <row r="18">
          <cell r="V18" t="str">
            <v>Michael Banks</v>
          </cell>
          <cell r="W18">
            <v>6</v>
          </cell>
        </row>
        <row r="19">
          <cell r="V19" t="str">
            <v>Anstasia Biggs</v>
          </cell>
          <cell r="W19">
            <v>6</v>
          </cell>
        </row>
        <row r="20">
          <cell r="V20" t="str">
            <v>Mimoza Dimodugno</v>
          </cell>
          <cell r="W20">
            <v>6</v>
          </cell>
        </row>
        <row r="21">
          <cell r="V21" t="str">
            <v>Joed Graf</v>
          </cell>
          <cell r="W21">
            <v>6</v>
          </cell>
        </row>
        <row r="22">
          <cell r="V22" t="str">
            <v>Andrea Jones</v>
          </cell>
          <cell r="W22">
            <v>6</v>
          </cell>
        </row>
        <row r="23">
          <cell r="V23" t="str">
            <v>Matthew Macarty</v>
          </cell>
          <cell r="W23">
            <v>6</v>
          </cell>
        </row>
        <row r="24">
          <cell r="V24" t="str">
            <v>Joseph Nezuh</v>
          </cell>
          <cell r="W24">
            <v>6</v>
          </cell>
        </row>
        <row r="25">
          <cell r="V25" t="str">
            <v>Anne Pugliese</v>
          </cell>
          <cell r="W25">
            <v>6</v>
          </cell>
        </row>
        <row r="26">
          <cell r="V26" t="str">
            <v>Trish Rice</v>
          </cell>
          <cell r="W26">
            <v>6</v>
          </cell>
        </row>
        <row r="27">
          <cell r="V27" t="str">
            <v>David Rude</v>
          </cell>
          <cell r="W27">
            <v>6</v>
          </cell>
        </row>
        <row r="28">
          <cell r="V28" t="str">
            <v>Gaurav Shah</v>
          </cell>
          <cell r="W28">
            <v>6</v>
          </cell>
        </row>
        <row r="29">
          <cell r="V29" t="str">
            <v>Daniel Sheehan</v>
          </cell>
          <cell r="W29">
            <v>6</v>
          </cell>
        </row>
        <row r="30">
          <cell r="V30" t="str">
            <v>Robert Stubbs</v>
          </cell>
          <cell r="W30">
            <v>6</v>
          </cell>
        </row>
        <row r="31">
          <cell r="V31" t="str">
            <v>Stephen Tracy</v>
          </cell>
          <cell r="W31">
            <v>6</v>
          </cell>
        </row>
        <row r="32">
          <cell r="V32" t="str">
            <v>Charles Wright</v>
          </cell>
          <cell r="W32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079B-0C5C-496E-8A22-115C4105A780}">
  <sheetPr codeName="Sheet1"/>
  <dimension ref="A1:F1"/>
  <sheetViews>
    <sheetView tabSelected="1" workbookViewId="0"/>
  </sheetViews>
  <sheetFormatPr baseColWidth="10" defaultColWidth="8.83203125" defaultRowHeight="15" x14ac:dyDescent="0.2"/>
  <cols>
    <col min="1" max="1" width="15.1640625" bestFit="1" customWidth="1"/>
    <col min="2" max="2" width="5.5" customWidth="1"/>
    <col min="3" max="3" width="19.83203125" customWidth="1"/>
    <col min="4" max="4" width="18.1640625" customWidth="1"/>
    <col min="5" max="5" width="5.1640625" customWidth="1"/>
    <col min="6" max="6" width="6.6640625" customWidth="1"/>
  </cols>
  <sheetData>
    <row r="1" spans="1:6" s="1" customFormat="1" x14ac:dyDescent="0.2">
      <c r="A1" t="str">
        <f>IF([1]Questions!D8="","-99",[1]Questions!D8)</f>
        <v>Wendy Lucas</v>
      </c>
      <c r="B1" s="1">
        <f>IF([1]Questions!D10="Part-Time",0,IF([1]Questions!D10="Full-Time",1,"-99"))</f>
        <v>1</v>
      </c>
      <c r="C1" s="1" t="str">
        <f>[1]Answers!AB3&amp;"{}"&amp;[1]Answers!AC3&amp;"{}"&amp;[1]Answers!AD3&amp;"{}"&amp;[1]Answers!AE3&amp;"{}"&amp;[1]Answers!AF3&amp;"{}"&amp;[1]Answers!AG3&amp;"{}"&amp;[1]Answers!AH3&amp;"{}"&amp;[1]Answers!AI3&amp;"{}"&amp;[1]Answers!AJ3&amp;"{}"&amp;[1]Answers!AK3</f>
        <v>CS 603||100{}CS 603||200{}CS 605||100{}CS 605||200{}CS 605||HB1{}CS 605||HB2{}CS 607||1GU{}CS 440||EGU{}CS 610 ||100{}CS 620||100</v>
      </c>
      <c r="D1" s="1" t="str">
        <f>[1]Answers!AB1&amp;"[]"&amp;[1]Answers!AC1&amp;"[]"&amp;[1]Answers!AD1&amp;"[]"&amp;[1]Answers!AE1&amp;"[]"&amp;[1]Answers!AF1&amp;"[]"&amp;[1]Answers!AG1&amp;"[]"&amp;[1]Answers!AH1&amp;"[]"&amp;[1]Answers!AI1&amp;"[]"&amp;[1]Answers!AJ1&amp;"[]"&amp;[1]Answers!AK1&amp;"[]"&amp;[1]Answers!AL1&amp;"[]"&amp;[1]Answers!AM1&amp;"[]"&amp;[1]Answers!AN1&amp;"[]"&amp;[1]Answers!AO1&amp;"[]"&amp;[1]Answers!AP1&amp;"[]"&amp;[1]Answers!AQ1&amp;"[]"&amp;[1]Answers!AR1&amp;"[]"&amp;[1]Answers!AS1&amp;"[]"&amp;[1]Answers!AT1&amp;"[]"&amp;[1]Answers!AU1&amp;"[]"&amp;[1]Answers!AV1&amp;"[]"&amp;[1]Answers!AW1&amp;"[]"&amp;[1]Answers!AX1&amp;"[]"&amp;[1]Answers!AY1&amp;"[]"&amp;[1]Answers!AZ1&amp;"[]"&amp;[1]Answers!BA1&amp;"[]"&amp;[1]Answers!BB1</f>
        <v>1[]2[]4[]5[]7[]9[]10[]12[]13[]14[]17[]19[]18[]21[]22[]25[]23[]26[]27[]-99[]-99[]-99[]-99[]-99[]-99[]-99[]-99</v>
      </c>
      <c r="E1" s="1">
        <f>IF([1]Questions!D71="Yes",1,0)</f>
        <v>1</v>
      </c>
      <c r="F1" s="1">
        <f>VLOOKUP(A1,[1]Answers!V1:W32,2,FALSE)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leteSchedule.DeleteSchedule">
                <anchor moveWithCells="1" sizeWithCells="1">
                  <from>
                    <xdr:col>8</xdr:col>
                    <xdr:colOff>596900</xdr:colOff>
                    <xdr:row>1</xdr:row>
                    <xdr:rowOff>63500</xdr:rowOff>
                  </from>
                  <to>
                    <xdr:col>12</xdr:col>
                    <xdr:colOff>381000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.Initialize">
                <anchor moveWithCells="1" sizeWithCells="1">
                  <from>
                    <xdr:col>8</xdr:col>
                    <xdr:colOff>584200</xdr:colOff>
                    <xdr:row>4</xdr:row>
                    <xdr:rowOff>88900</xdr:rowOff>
                  </from>
                  <to>
                    <xdr:col>12</xdr:col>
                    <xdr:colOff>368300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17</xdr:col>
                    <xdr:colOff>241300</xdr:colOff>
                    <xdr:row>12</xdr:row>
                    <xdr:rowOff>0</xdr:rowOff>
                  </from>
                  <to>
                    <xdr:col>19</xdr:col>
                    <xdr:colOff>533400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NewScheduleSheet">
                <anchor moveWithCells="1" sizeWithCells="1">
                  <from>
                    <xdr:col>9</xdr:col>
                    <xdr:colOff>381000</xdr:colOff>
                    <xdr:row>7</xdr:row>
                    <xdr:rowOff>165100</xdr:rowOff>
                  </from>
                  <to>
                    <xdr:col>12</xdr:col>
                    <xdr:colOff>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Main.Main">
                <anchor moveWithCells="1" sizeWithCells="1">
                  <from>
                    <xdr:col>9</xdr:col>
                    <xdr:colOff>393700</xdr:colOff>
                    <xdr:row>11</xdr:row>
                    <xdr:rowOff>50800</xdr:rowOff>
                  </from>
                  <to>
                    <xdr:col>12</xdr:col>
                    <xdr:colOff>12700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4F77-F74A-4B0A-B7DF-3895AD12C5CB}">
  <sheetPr codeName="Sheet2"/>
  <dimension ref="A1:A9"/>
  <sheetViews>
    <sheetView workbookViewId="0">
      <selection activeCell="J32" sqref="J32"/>
    </sheetView>
  </sheetViews>
  <sheetFormatPr baseColWidth="10" defaultColWidth="8.83203125" defaultRowHeight="15" x14ac:dyDescent="0.2"/>
  <cols>
    <col min="1" max="1" width="15.1640625" bestFit="1" customWidth="1"/>
  </cols>
  <sheetData>
    <row r="1" spans="1:1" x14ac:dyDescent="0.2">
      <c r="A1" t="s">
        <v>1</v>
      </c>
    </row>
    <row r="2" spans="1:1" x14ac:dyDescent="0.2">
      <c r="A2" t="s">
        <v>0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Responses</vt:lpstr>
      <vt:lpstr>DataImport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Jason.Perfetto</dc:creator>
  <cp:lastModifiedBy>Jason Perfetto</cp:lastModifiedBy>
  <dcterms:created xsi:type="dcterms:W3CDTF">2018-03-26T13:16:52Z</dcterms:created>
  <dcterms:modified xsi:type="dcterms:W3CDTF">2018-03-27T05:24:02Z</dcterms:modified>
</cp:coreProperties>
</file>