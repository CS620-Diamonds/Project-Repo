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0116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JRPerfetto/Documents/Computer Science/Grad School/Semester 3/CS 620 - Global IT Project Management/Group Project/"/>
    </mc:Choice>
  </mc:AlternateContent>
  <bookViews>
    <workbookView xWindow="0" yWindow="460" windowWidth="28800" windowHeight="16740"/>
  </bookViews>
  <sheets>
    <sheet name="MasterSheet" sheetId="1" r:id="rId1"/>
    <sheet name="Course Reference" sheetId="2" r:id="rId2"/>
    <sheet name="Course Catalogue" sheetId="3" r:id="rId3"/>
  </sheets>
  <externalReferences>
    <externalReference r:id="rId4"/>
    <externalReference r:id="rId5"/>
  </externalReferences>
  <definedNames>
    <definedName name="CourseList">MasterSheet!$J$2:$J$19</definedName>
    <definedName name="Days">MasterSheet!$K$2:$K$9</definedName>
    <definedName name="Name">MasterSheet!$I$2:$I$33</definedName>
    <definedName name="solver_eng" localSheetId="0" hidden="1">1</definedName>
    <definedName name="solver_neg" localSheetId="0" hidden="1">1</definedName>
    <definedName name="solver_num" localSheetId="0" hidden="1">0</definedName>
    <definedName name="solver_opt" localSheetId="0" hidden="1">MasterSheet!$W$19</definedName>
    <definedName name="solver_typ" localSheetId="0" hidden="1">2</definedName>
    <definedName name="solver_val" localSheetId="0" hidden="1">0</definedName>
    <definedName name="solver_ver" localSheetId="0" hidden="1">3</definedName>
    <definedName name="Times">MasterSheet!$L$2:$L$11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W3" i="1" l="1"/>
  <c r="F33" i="2"/>
  <c r="E33" i="2"/>
  <c r="F32" i="2"/>
  <c r="E32" i="2"/>
  <c r="F31" i="2"/>
  <c r="E31" i="2"/>
  <c r="F30" i="2"/>
  <c r="E30" i="2"/>
  <c r="F29" i="2"/>
  <c r="E29" i="2"/>
  <c r="F28" i="2"/>
  <c r="E28" i="2"/>
  <c r="F27" i="2"/>
  <c r="E27" i="2"/>
  <c r="F26" i="2"/>
  <c r="E26" i="2"/>
  <c r="F25" i="2"/>
  <c r="E25" i="2"/>
  <c r="F24" i="2"/>
  <c r="E24" i="2"/>
  <c r="F23" i="2"/>
  <c r="E23" i="2"/>
  <c r="F22" i="2"/>
  <c r="E22" i="2"/>
  <c r="F21" i="2"/>
  <c r="E21" i="2"/>
  <c r="F20" i="2"/>
  <c r="E20" i="2"/>
  <c r="F19" i="2"/>
  <c r="E19" i="2"/>
  <c r="F18" i="2"/>
  <c r="E18" i="2"/>
  <c r="F17" i="2"/>
  <c r="E17" i="2"/>
  <c r="F16" i="2"/>
  <c r="E16" i="2"/>
  <c r="F15" i="2"/>
  <c r="E15" i="2"/>
  <c r="F14" i="2"/>
  <c r="E14" i="2"/>
  <c r="F13" i="2"/>
  <c r="E13" i="2"/>
  <c r="F12" i="2"/>
  <c r="E12" i="2"/>
  <c r="F11" i="2"/>
  <c r="E11" i="2"/>
  <c r="F10" i="2"/>
  <c r="E10" i="2"/>
  <c r="F9" i="2"/>
  <c r="E9" i="2"/>
  <c r="F8" i="2"/>
  <c r="E8" i="2"/>
  <c r="F7" i="2"/>
  <c r="E7" i="2"/>
  <c r="F6" i="2"/>
  <c r="E6" i="2"/>
  <c r="F5" i="2"/>
  <c r="E5" i="2"/>
  <c r="F4" i="2"/>
  <c r="E4" i="2"/>
  <c r="F3" i="2"/>
  <c r="E3" i="2"/>
  <c r="F2" i="2"/>
  <c r="E2" i="2"/>
  <c r="T3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7" i="1"/>
  <c r="H8" i="1"/>
  <c r="H6" i="1"/>
  <c r="H5" i="1"/>
  <c r="H4" i="1"/>
  <c r="H3" i="1"/>
  <c r="H2" i="1"/>
  <c r="Y3" i="1" l="1"/>
  <c r="U19" i="1"/>
  <c r="G33" i="1" l="1"/>
  <c r="G32" i="1"/>
  <c r="G31" i="1"/>
  <c r="G30" i="1"/>
  <c r="G29" i="1"/>
  <c r="G28" i="1"/>
  <c r="G27" i="1"/>
  <c r="G26" i="1"/>
  <c r="G25" i="1"/>
  <c r="G24" i="1"/>
  <c r="G23" i="1"/>
  <c r="G22" i="1"/>
  <c r="G21" i="1"/>
  <c r="G20" i="1"/>
  <c r="G19" i="1"/>
  <c r="G18" i="1"/>
  <c r="G17" i="1"/>
  <c r="G16" i="1"/>
  <c r="G15" i="1"/>
  <c r="G14" i="1"/>
  <c r="G13" i="1"/>
  <c r="G12" i="1"/>
  <c r="G11" i="1"/>
  <c r="G10" i="1"/>
  <c r="G9" i="1"/>
  <c r="G8" i="1"/>
  <c r="G7" i="1"/>
  <c r="G6" i="1"/>
  <c r="G5" i="1"/>
  <c r="G4" i="1"/>
  <c r="V3" i="1"/>
  <c r="U3" i="1"/>
  <c r="G3" i="1"/>
  <c r="X2" i="1"/>
  <c r="G2" i="1"/>
  <c r="Z3" i="1" s="1"/>
  <c r="T19" i="1"/>
  <c r="S19" i="1"/>
  <c r="S18" i="1"/>
  <c r="V18" i="1"/>
  <c r="U18" i="1"/>
  <c r="T18" i="1"/>
  <c r="V19" i="1"/>
</calcChain>
</file>

<file path=xl/sharedStrings.xml><?xml version="1.0" encoding="utf-8"?>
<sst xmlns="http://schemas.openxmlformats.org/spreadsheetml/2006/main" count="855" uniqueCount="223">
  <si>
    <t>Is CIS</t>
  </si>
  <si>
    <t>Qantified Rank</t>
  </si>
  <si>
    <t>Rank</t>
  </si>
  <si>
    <t>FT/Adjunct</t>
  </si>
  <si>
    <t>Can be scheduled</t>
  </si>
  <si>
    <t>Name</t>
  </si>
  <si>
    <t>Courses</t>
  </si>
  <si>
    <t>Days</t>
  </si>
  <si>
    <t>Times</t>
  </si>
  <si>
    <t>Block #</t>
  </si>
  <si>
    <t>Day(s)</t>
  </si>
  <si>
    <t>Start Time</t>
  </si>
  <si>
    <t>End Time</t>
  </si>
  <si>
    <t>NameIndex</t>
  </si>
  <si>
    <t>CourseIndex</t>
  </si>
  <si>
    <t>DaysIndex</t>
  </si>
  <si>
    <t>TimesIndex</t>
  </si>
  <si>
    <t>ClassBlocKIndex</t>
  </si>
  <si>
    <t>Senior Lecturer</t>
  </si>
  <si>
    <t>FT</t>
  </si>
  <si>
    <t>Akram Ahmed</t>
  </si>
  <si>
    <t>IT 101</t>
  </si>
  <si>
    <t>M</t>
  </si>
  <si>
    <t>08:00AM - 09:20AM</t>
  </si>
  <si>
    <t>5:00pm</t>
  </si>
  <si>
    <t>7:20pm</t>
  </si>
  <si>
    <t>Adjunct Lecturer</t>
  </si>
  <si>
    <t>Adjunct</t>
  </si>
  <si>
    <t>Andrea Jones</t>
  </si>
  <si>
    <t>CS 150</t>
  </si>
  <si>
    <t>MW</t>
  </si>
  <si>
    <t>09:30AM - 10:50AM</t>
  </si>
  <si>
    <t>T</t>
  </si>
  <si>
    <t>Anne Pugliese</t>
  </si>
  <si>
    <t xml:space="preserve">CS 180 </t>
  </si>
  <si>
    <t>MR</t>
  </si>
  <si>
    <t>11:00AM - 01:50PM</t>
  </si>
  <si>
    <t>W</t>
  </si>
  <si>
    <t>Anstasia Biggs</t>
  </si>
  <si>
    <t xml:space="preserve">CS 213 </t>
  </si>
  <si>
    <t>12:30PM - 01:50PM</t>
  </si>
  <si>
    <t>R</t>
  </si>
  <si>
    <t>Professor</t>
  </si>
  <si>
    <t>Bill Schiano</t>
  </si>
  <si>
    <t xml:space="preserve">CS 240 </t>
  </si>
  <si>
    <t>TR</t>
  </si>
  <si>
    <t>02:00PM - 03:20PM</t>
  </si>
  <si>
    <t>9:50pm</t>
  </si>
  <si>
    <t>Bill Vanderclock</t>
  </si>
  <si>
    <t xml:space="preserve">CS 299 </t>
  </si>
  <si>
    <t>TF</t>
  </si>
  <si>
    <t>03:30PM - 04:50PM</t>
  </si>
  <si>
    <t>Professor:</t>
  </si>
  <si>
    <t>Charles Wright</t>
  </si>
  <si>
    <t xml:space="preserve">CS 350 </t>
  </si>
  <si>
    <t>05:00PM - 06:20PM</t>
  </si>
  <si>
    <t>Daniel Sheehan</t>
  </si>
  <si>
    <t>CS 360</t>
  </si>
  <si>
    <t>05:00PM - 07:20PM</t>
  </si>
  <si>
    <t>Course:</t>
  </si>
  <si>
    <t>David Rude</t>
  </si>
  <si>
    <t xml:space="preserve">CS 460 </t>
  </si>
  <si>
    <t>06:30PM - 09:10PM</t>
  </si>
  <si>
    <t>Associate Professor</t>
  </si>
  <si>
    <t>David Yates</t>
  </si>
  <si>
    <t xml:space="preserve">CS 480 </t>
  </si>
  <si>
    <t>07:30PM - 09:50PM</t>
  </si>
  <si>
    <t>Days:</t>
  </si>
  <si>
    <t>Donald Aucoin</t>
  </si>
  <si>
    <t xml:space="preserve">CS 603 </t>
  </si>
  <si>
    <t>GraduateIDaysIndx</t>
  </si>
  <si>
    <t>GraduateTimesIndx</t>
  </si>
  <si>
    <t>ClassBlockIndexREF</t>
  </si>
  <si>
    <t>(DaysIndex*DaysIndex*TimesIndex)</t>
  </si>
  <si>
    <t>Lecturer</t>
  </si>
  <si>
    <t>Elizabeth McCarron</t>
  </si>
  <si>
    <t xml:space="preserve">CS 605 </t>
  </si>
  <si>
    <t>Time</t>
  </si>
  <si>
    <t>Monday - M</t>
  </si>
  <si>
    <t>Tuesday - T</t>
  </si>
  <si>
    <t>Wednesday - W</t>
  </si>
  <si>
    <t>Thursday - R</t>
  </si>
  <si>
    <t>Friday - F</t>
  </si>
  <si>
    <t>Times:</t>
  </si>
  <si>
    <t>Gaurav Shah</t>
  </si>
  <si>
    <t>CS 607</t>
  </si>
  <si>
    <t>5:00pm 7:20pm</t>
  </si>
  <si>
    <t>x</t>
  </si>
  <si>
    <t>Heikki Topi</t>
  </si>
  <si>
    <t xml:space="preserve">CS 610 </t>
  </si>
  <si>
    <t>7:30pm 9:50pm</t>
  </si>
  <si>
    <t>James Pape</t>
  </si>
  <si>
    <t>CS 620</t>
  </si>
  <si>
    <t>Jay Cooprider</t>
  </si>
  <si>
    <t>CS 630</t>
  </si>
  <si>
    <t>Dynamic Scheduling</t>
  </si>
  <si>
    <t>Jennifer Xu</t>
  </si>
  <si>
    <t>CS 650</t>
  </si>
  <si>
    <t>Joed Graf</t>
  </si>
  <si>
    <t xml:space="preserve">CS 680 </t>
  </si>
  <si>
    <t>Joseph Nezuh</t>
  </si>
  <si>
    <t>Les Waguespack</t>
  </si>
  <si>
    <t>Graduate Course Schedule</t>
  </si>
  <si>
    <t>Course</t>
  </si>
  <si>
    <t>Day</t>
  </si>
  <si>
    <t>Courseindex</t>
  </si>
  <si>
    <t>ClassBlockIndex</t>
  </si>
  <si>
    <t>Mark Frydenberg</t>
  </si>
  <si>
    <t>Matthew Macarty</t>
  </si>
  <si>
    <t>Michael Banks</t>
  </si>
  <si>
    <t>Mimoza Dimodugno</t>
  </si>
  <si>
    <t>Monica Garfield</t>
  </si>
  <si>
    <t>Robert Stubbs</t>
  </si>
  <si>
    <t>Stephen Tracy</t>
  </si>
  <si>
    <t>Tamara Babaian</t>
  </si>
  <si>
    <t>Trish Rice</t>
  </si>
  <si>
    <t>Assistant Professor</t>
  </si>
  <si>
    <t>Vatche Ishakian</t>
  </si>
  <si>
    <t>Wendy Lucas</t>
  </si>
  <si>
    <t>Xinru Page</t>
  </si>
  <si>
    <t>CS 610</t>
  </si>
  <si>
    <t>CS 605</t>
  </si>
  <si>
    <t xml:space="preserve">Scheduled Sections </t>
  </si>
  <si>
    <t>Sections Possible</t>
  </si>
  <si>
    <t>Scheduled Sections</t>
  </si>
  <si>
    <t>CRN</t>
  </si>
  <si>
    <t>Part of Term</t>
  </si>
  <si>
    <t>Title/Notes</t>
  </si>
  <si>
    <t>Graduate/Undergraduate?</t>
  </si>
  <si>
    <t>Room</t>
  </si>
  <si>
    <t>Instructor</t>
  </si>
  <si>
    <t>Adjunct/Part-time/Full-time?</t>
  </si>
  <si>
    <t>Object-Oriented Applic Develop </t>
  </si>
  <si>
    <t>Graduate</t>
  </si>
  <si>
    <t>SMI 103</t>
  </si>
  <si>
    <t>Lucas, W</t>
  </si>
  <si>
    <t>Full -time</t>
  </si>
  <si>
    <t>SMI 301</t>
  </si>
  <si>
    <t>Rude, D</t>
  </si>
  <si>
    <t>Part-time</t>
  </si>
  <si>
    <t>Data Management &amp; Modeling </t>
  </si>
  <si>
    <t>JEN 210</t>
  </si>
  <si>
    <t>Babaian, T</t>
  </si>
  <si>
    <t>HB1</t>
  </si>
  <si>
    <t>SMI 201</t>
  </si>
  <si>
    <t>Topi, H</t>
  </si>
  <si>
    <t>HB2</t>
  </si>
  <si>
    <t>Data Management &amp; Modeling</t>
  </si>
  <si>
    <t>12:30PM - 02:50PM</t>
  </si>
  <si>
    <t>Ahmed, A</t>
  </si>
  <si>
    <t xml:space="preserve">                        10825/10066</t>
  </si>
  <si>
    <t>CS 607 1GU/CS 440 EGU</t>
  </si>
  <si>
    <t>1GU</t>
  </si>
  <si>
    <t>Techn Infrastr of Info Systems /Adv Net-Centric Comp </t>
  </si>
  <si>
    <t>Graduate/Undergraduate Evening</t>
  </si>
  <si>
    <t>SMI 303</t>
  </si>
  <si>
    <t>Ishakian, V</t>
  </si>
  <si>
    <t>Enterprise Architecture</t>
  </si>
  <si>
    <t>Schiano, W</t>
  </si>
  <si>
    <t>Global IT Project Management</t>
  </si>
  <si>
    <t>JEN 309</t>
  </si>
  <si>
    <t>Systems Analysis and Design</t>
  </si>
  <si>
    <t>SMI 212</t>
  </si>
  <si>
    <t>Data Management Architectures</t>
  </si>
  <si>
    <t>Cooprider, J</t>
  </si>
  <si>
    <t>Mobile Application Development</t>
  </si>
  <si>
    <t>Pepe, J</t>
  </si>
  <si>
    <t>Intro Data &amp; Info Mgmt </t>
  </si>
  <si>
    <t>Undergraduate</t>
  </si>
  <si>
    <t>SMI 101</t>
  </si>
  <si>
    <t>McCarron, E</t>
  </si>
  <si>
    <t xml:space="preserve">CS 150 </t>
  </si>
  <si>
    <t>11:00AM - 12:20PM</t>
  </si>
  <si>
    <t>SMI 307</t>
  </si>
  <si>
    <t>Tracey, S</t>
  </si>
  <si>
    <t>Intro Data &amp; Info Mgmt</t>
  </si>
  <si>
    <t>Graf, J</t>
  </si>
  <si>
    <t>E01</t>
  </si>
  <si>
    <t>1A</t>
  </si>
  <si>
    <t>Undergraduate Evening</t>
  </si>
  <si>
    <t>Jones, A</t>
  </si>
  <si>
    <t>E02</t>
  </si>
  <si>
    <t>SMI 116</t>
  </si>
  <si>
    <t>Wright, C</t>
  </si>
  <si>
    <t>Programming Fundamentals </t>
  </si>
  <si>
    <t>Page, X</t>
  </si>
  <si>
    <t>Banks, M</t>
  </si>
  <si>
    <t>The World Wide Web </t>
  </si>
  <si>
    <t>Bus Proc &amp; Comm Infrastructure</t>
  </si>
  <si>
    <t>SMI 218</t>
  </si>
  <si>
    <t>Yates, D</t>
  </si>
  <si>
    <t>Intro to Programming w/Python </t>
  </si>
  <si>
    <t>SMI 203</t>
  </si>
  <si>
    <t>Xu, J</t>
  </si>
  <si>
    <t>Intro to Programmin w/Python </t>
  </si>
  <si>
    <t>Frydenberg, M</t>
  </si>
  <si>
    <t>SMI 210</t>
  </si>
  <si>
    <t>Database Management Systems </t>
  </si>
  <si>
    <t>08:00AM - 10:50AM</t>
  </si>
  <si>
    <t>CS 350</t>
  </si>
  <si>
    <t>SMI 216</t>
  </si>
  <si>
    <t xml:space="preserve">CS 360 </t>
  </si>
  <si>
    <t>Bus Sys Anal &amp; Modeling</t>
  </si>
  <si>
    <t>Waguespack, L</t>
  </si>
  <si>
    <t>IS Proj Mgmt &amp; Practice</t>
  </si>
  <si>
    <t>Advanced App Development Tech</t>
  </si>
  <si>
    <t xml:space="preserve">IT 101 </t>
  </si>
  <si>
    <t>Info Tech and Computer System </t>
  </si>
  <si>
    <t>Nezuh, J</t>
  </si>
  <si>
    <t>Biggs, A</t>
  </si>
  <si>
    <t>Macarty, M</t>
  </si>
  <si>
    <t>SMI 118</t>
  </si>
  <si>
    <t>Rice, P</t>
  </si>
  <si>
    <t>VanderClock, W</t>
  </si>
  <si>
    <t>Dimodugno, M</t>
  </si>
  <si>
    <t>Stubbs, R</t>
  </si>
  <si>
    <t>H01</t>
  </si>
  <si>
    <t>(H) Info Tech and Comp System </t>
  </si>
  <si>
    <t>SL1</t>
  </si>
  <si>
    <t>X01</t>
  </si>
  <si>
    <r>
      <t> </t>
    </r>
    <r>
      <rPr>
        <sz val="14"/>
        <color rgb="FF333333"/>
        <rFont val="Helvetica Neue"/>
        <family val="2"/>
      </rPr>
      <t> </t>
    </r>
    <r>
      <rPr>
        <sz val="14"/>
        <color rgb="FF00AAFF"/>
        <rFont val="Helvetica Neue"/>
        <family val="2"/>
      </rPr>
      <t> </t>
    </r>
    <r>
      <rPr>
        <sz val="14"/>
        <color rgb="FF333333"/>
        <rFont val="Helvetica Neue"/>
        <family val="2"/>
      </rPr>
      <t> </t>
    </r>
    <r>
      <rPr>
        <sz val="14"/>
        <color rgb="FF00AAFF"/>
        <rFont val="Helvetica Neue"/>
        <family val="2"/>
      </rPr>
      <t> </t>
    </r>
  </si>
  <si>
    <t>Sections Offered</t>
  </si>
  <si>
    <t>CS 603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</si>
</sst>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0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sz val="12"/>
      <color rgb="FF000000"/>
      <name val="Calibri"/>
      <family val="2"/>
    </font>
    <font>
      <sz val="12"/>
      <color rgb="FF000000"/>
      <name val="Arial"/>
      <family val="2"/>
    </font>
    <font>
      <sz val="8"/>
      <color rgb="FF000000"/>
      <name val="Segoe UI"/>
      <charset val="1"/>
    </font>
    <font>
      <b/>
      <sz val="12"/>
      <color theme="1"/>
      <name val="Calibri"/>
      <family val="2"/>
      <scheme val="minor"/>
    </font>
    <font>
      <b/>
      <u/>
      <sz val="12"/>
      <color rgb="FF000000"/>
      <name val="Arial"/>
      <family val="2"/>
    </font>
    <font>
      <b/>
      <u/>
      <sz val="11"/>
      <color theme="1"/>
      <name val="Calibri"/>
      <family val="2"/>
      <scheme val="minor"/>
    </font>
    <font>
      <b/>
      <sz val="12"/>
      <color theme="0"/>
      <name val="Arial"/>
      <family val="2"/>
    </font>
    <font>
      <b/>
      <sz val="16"/>
      <color theme="0"/>
      <name val="Arial"/>
      <family val="2"/>
    </font>
    <font>
      <b/>
      <sz val="14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theme="1"/>
      <name val="Arial"/>
      <family val="2"/>
    </font>
    <font>
      <sz val="12"/>
      <color rgb="FF333333"/>
      <name val="Arial"/>
      <family val="2"/>
    </font>
    <font>
      <i/>
      <sz val="12"/>
      <color theme="1"/>
      <name val="Arial"/>
      <family val="2"/>
    </font>
    <font>
      <sz val="14"/>
      <color rgb="FFCACACA"/>
      <name val="Helvetica Neue"/>
      <family val="2"/>
    </font>
    <font>
      <sz val="14"/>
      <color rgb="FF00AAFF"/>
      <name val="Helvetica Neue"/>
      <family val="2"/>
    </font>
    <font>
      <sz val="14"/>
      <color rgb="FF333333"/>
      <name val="Helvetica Neue"/>
      <family val="2"/>
    </font>
    <font>
      <b/>
      <sz val="16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0" fontId="3" fillId="0" borderId="0"/>
    <xf numFmtId="0" fontId="12" fillId="0" borderId="0" applyNumberFormat="0" applyFill="0" applyBorder="0" applyAlignment="0" applyProtection="0"/>
  </cellStyleXfs>
  <cellXfs count="62">
    <xf numFmtId="0" fontId="0" fillId="0" borderId="0" xfId="0"/>
    <xf numFmtId="0" fontId="4" fillId="0" borderId="0" xfId="1" applyFont="1"/>
    <xf numFmtId="0" fontId="4" fillId="0" borderId="0" xfId="1" applyFont="1" applyFill="1"/>
    <xf numFmtId="0" fontId="4" fillId="0" borderId="1" xfId="1" applyFont="1" applyFill="1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0" fillId="0" borderId="4" xfId="0" applyBorder="1" applyAlignment="1">
      <alignment wrapText="1"/>
    </xf>
    <xf numFmtId="0" fontId="0" fillId="0" borderId="0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wrapText="1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/>
    <xf numFmtId="0" fontId="4" fillId="0" borderId="9" xfId="1" applyFont="1" applyBorder="1"/>
    <xf numFmtId="0" fontId="0" fillId="0" borderId="9" xfId="0" applyBorder="1" applyAlignment="1">
      <alignment wrapText="1"/>
    </xf>
    <xf numFmtId="0" fontId="0" fillId="0" borderId="9" xfId="0" applyBorder="1" applyAlignment="1">
      <alignment horizontal="center" vertical="center"/>
    </xf>
    <xf numFmtId="20" fontId="0" fillId="0" borderId="9" xfId="0" applyNumberFormat="1" applyBorder="1"/>
    <xf numFmtId="0" fontId="0" fillId="0" borderId="10" xfId="0" applyBorder="1"/>
    <xf numFmtId="0" fontId="4" fillId="0" borderId="9" xfId="1" applyFont="1" applyFill="1" applyBorder="1"/>
    <xf numFmtId="0" fontId="8" fillId="2" borderId="9" xfId="0" applyFont="1" applyFill="1" applyBorder="1"/>
    <xf numFmtId="0" fontId="8" fillId="2" borderId="10" xfId="0" applyFont="1" applyFill="1" applyBorder="1"/>
    <xf numFmtId="0" fontId="8" fillId="2" borderId="0" xfId="0" applyFont="1" applyFill="1"/>
    <xf numFmtId="0" fontId="7" fillId="2" borderId="9" xfId="1" applyFont="1" applyFill="1" applyBorder="1"/>
    <xf numFmtId="0" fontId="9" fillId="3" borderId="0" xfId="1" applyFont="1" applyFill="1"/>
    <xf numFmtId="0" fontId="4" fillId="4" borderId="0" xfId="1" applyFont="1" applyFill="1"/>
    <xf numFmtId="0" fontId="0" fillId="4" borderId="0" xfId="0" applyFill="1"/>
    <xf numFmtId="0" fontId="0" fillId="4" borderId="4" xfId="0" applyFill="1" applyBorder="1"/>
    <xf numFmtId="0" fontId="0" fillId="4" borderId="0" xfId="0" applyFill="1" applyBorder="1"/>
    <xf numFmtId="0" fontId="0" fillId="4" borderId="5" xfId="0" applyFill="1" applyBorder="1"/>
    <xf numFmtId="0" fontId="0" fillId="3" borderId="0" xfId="0" applyFill="1"/>
    <xf numFmtId="0" fontId="4" fillId="3" borderId="0" xfId="1" applyFont="1" applyFill="1"/>
    <xf numFmtId="0" fontId="4" fillId="5" borderId="0" xfId="1" applyFont="1" applyFill="1"/>
    <xf numFmtId="0" fontId="0" fillId="5" borderId="0" xfId="0" applyFill="1"/>
    <xf numFmtId="0" fontId="11" fillId="3" borderId="1" xfId="0" applyFont="1" applyFill="1" applyBorder="1"/>
    <xf numFmtId="0" fontId="11" fillId="3" borderId="2" xfId="0" applyFont="1" applyFill="1" applyBorder="1"/>
    <xf numFmtId="0" fontId="11" fillId="3" borderId="3" xfId="0" applyFont="1" applyFill="1" applyBorder="1"/>
    <xf numFmtId="0" fontId="0" fillId="6" borderId="4" xfId="0" applyFill="1" applyBorder="1"/>
    <xf numFmtId="0" fontId="0" fillId="6" borderId="0" xfId="0" applyFill="1" applyBorder="1"/>
    <xf numFmtId="0" fontId="0" fillId="6" borderId="5" xfId="0" applyFill="1" applyBorder="1"/>
    <xf numFmtId="0" fontId="0" fillId="6" borderId="6" xfId="0" applyFill="1" applyBorder="1"/>
    <xf numFmtId="0" fontId="0" fillId="6" borderId="7" xfId="0" applyFill="1" applyBorder="1"/>
    <xf numFmtId="0" fontId="0" fillId="6" borderId="8" xfId="0" applyFill="1" applyBorder="1"/>
    <xf numFmtId="0" fontId="0" fillId="0" borderId="0" xfId="0" applyFill="1"/>
    <xf numFmtId="0" fontId="6" fillId="5" borderId="0" xfId="0" applyFont="1" applyFill="1"/>
    <xf numFmtId="0" fontId="13" fillId="0" borderId="0" xfId="0" applyFont="1"/>
    <xf numFmtId="0" fontId="1" fillId="0" borderId="0" xfId="2" applyFont="1" applyAlignment="1">
      <alignment horizontal="left"/>
    </xf>
    <xf numFmtId="0" fontId="14" fillId="0" borderId="0" xfId="0" applyFont="1"/>
    <xf numFmtId="0" fontId="1" fillId="0" borderId="0" xfId="0" applyFont="1" applyAlignment="1">
      <alignment horizontal="left"/>
    </xf>
    <xf numFmtId="0" fontId="13" fillId="0" borderId="0" xfId="0" applyFont="1" applyAlignment="1">
      <alignment horizontal="left"/>
    </xf>
    <xf numFmtId="0" fontId="0" fillId="0" borderId="0" xfId="2" applyFont="1" applyAlignment="1">
      <alignment horizontal="left"/>
    </xf>
    <xf numFmtId="0" fontId="0" fillId="0" borderId="0" xfId="0" applyFont="1"/>
    <xf numFmtId="0" fontId="15" fillId="0" borderId="0" xfId="0" applyFont="1"/>
    <xf numFmtId="0" fontId="16" fillId="0" borderId="0" xfId="0" applyFont="1"/>
    <xf numFmtId="0" fontId="0" fillId="0" borderId="0" xfId="0" applyFont="1" applyAlignment="1">
      <alignment horizontal="left"/>
    </xf>
    <xf numFmtId="0" fontId="17" fillId="0" borderId="0" xfId="0" applyFont="1"/>
    <xf numFmtId="0" fontId="10" fillId="3" borderId="0" xfId="0" applyFont="1" applyFill="1"/>
    <xf numFmtId="0" fontId="19" fillId="3" borderId="0" xfId="0" applyFont="1" applyFill="1"/>
    <xf numFmtId="0" fontId="0" fillId="4" borderId="9" xfId="0" applyFill="1" applyBorder="1"/>
    <xf numFmtId="0" fontId="4" fillId="4" borderId="9" xfId="1" applyFont="1" applyFill="1" applyBorder="1"/>
  </cellXfs>
  <cellStyles count="3">
    <cellStyle name="Hyperlink" xfId="2" builtinId="8"/>
    <cellStyle name="Normal" xfId="0" builtinId="0"/>
    <cellStyle name="Normal 2" xfId="1"/>
  </cellStyles>
  <dxfs count="3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2.xml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Drop" dropStyle="combo" dx="22" fmlaLink="$T$2" fmlaRange="$I$2:$I$33" noThreeD="1" sel="4" val="0"/>
</file>

<file path=xl/ctrlProps/ctrlProp2.xml><?xml version="1.0" encoding="utf-8"?>
<formControlPr xmlns="http://schemas.microsoft.com/office/spreadsheetml/2009/9/main" objectType="Drop" dropStyle="combo" dx="22" fmlaLink="$U$2" fmlaRange="$J$12:$J$19" noThreeD="1" sel="1" val="0"/>
</file>

<file path=xl/ctrlProps/ctrlProp3.xml><?xml version="1.0" encoding="utf-8"?>
<formControlPr xmlns="http://schemas.microsoft.com/office/spreadsheetml/2009/9/main" objectType="Drop" dropStyle="combo" dx="22" fmlaLink="$V$2" fmlaRange="$K$2:$K$9" noThreeD="1" sel="1" val="0"/>
</file>

<file path=xl/ctrlProps/ctrlProp4.xml><?xml version="1.0" encoding="utf-8"?>
<formControlPr xmlns="http://schemas.microsoft.com/office/spreadsheetml/2009/9/main" objectType="Drop" dropStyle="combo" dx="22" fmlaLink="$W$2" fmlaRange="$L$10:$L$11" noThreeD="1" sel="2" val="0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723900</xdr:colOff>
          <xdr:row>23</xdr:row>
          <xdr:rowOff>38100</xdr:rowOff>
        </xdr:from>
        <xdr:to>
          <xdr:col>14</xdr:col>
          <xdr:colOff>1866900</xdr:colOff>
          <xdr:row>24</xdr:row>
          <xdr:rowOff>63500</xdr:rowOff>
        </xdr:to>
        <xdr:sp macro="" textlink="">
          <xdr:nvSpPr>
            <xdr:cNvPr id="1025" name="DropDown2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723900</xdr:colOff>
          <xdr:row>25</xdr:row>
          <xdr:rowOff>38100</xdr:rowOff>
        </xdr:from>
        <xdr:to>
          <xdr:col>14</xdr:col>
          <xdr:colOff>1854200</xdr:colOff>
          <xdr:row>26</xdr:row>
          <xdr:rowOff>76200</xdr:rowOff>
        </xdr:to>
        <xdr:sp macro="" textlink="">
          <xdr:nvSpPr>
            <xdr:cNvPr id="1026" name="Drop Dow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711200</xdr:colOff>
          <xdr:row>27</xdr:row>
          <xdr:rowOff>25400</xdr:rowOff>
        </xdr:from>
        <xdr:to>
          <xdr:col>14</xdr:col>
          <xdr:colOff>1854200</xdr:colOff>
          <xdr:row>28</xdr:row>
          <xdr:rowOff>50800</xdr:rowOff>
        </xdr:to>
        <xdr:sp macro="" textlink="">
          <xdr:nvSpPr>
            <xdr:cNvPr id="1027" name="Drop Dow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698500</xdr:colOff>
          <xdr:row>29</xdr:row>
          <xdr:rowOff>12700</xdr:rowOff>
        </xdr:from>
        <xdr:to>
          <xdr:col>14</xdr:col>
          <xdr:colOff>1854200</xdr:colOff>
          <xdr:row>30</xdr:row>
          <xdr:rowOff>38100</xdr:rowOff>
        </xdr:to>
        <xdr:sp macro="" textlink="">
          <xdr:nvSpPr>
            <xdr:cNvPr id="1028" name="Drop Dow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1625600</xdr:colOff>
          <xdr:row>21</xdr:row>
          <xdr:rowOff>139700</xdr:rowOff>
        </xdr:from>
        <xdr:to>
          <xdr:col>14</xdr:col>
          <xdr:colOff>2108200</xdr:colOff>
          <xdr:row>38</xdr:row>
          <xdr:rowOff>165100</xdr:rowOff>
        </xdr:to>
        <xdr:sp macro="" textlink="">
          <xdr:nvSpPr>
            <xdr:cNvPr id="1029" name="Scheduler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18288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</a:rPr>
                <a:t>Group Box 6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952500</xdr:colOff>
          <xdr:row>31</xdr:row>
          <xdr:rowOff>0</xdr:rowOff>
        </xdr:from>
        <xdr:to>
          <xdr:col>14</xdr:col>
          <xdr:colOff>1549400</xdr:colOff>
          <xdr:row>34</xdr:row>
          <xdr:rowOff>12700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60AE470E-79CC-1B41-A687-E6D4AEEA03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echhoncho-my.sharepoint.com/personal/gmiller_techhoncho_com/Documents/Internal/Bentley/SP2018/CS620/Project/GLM-testexcel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RPerfetto/Library/Containers/com.microsoft.Excel/Data/Documents/GLM-testexce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Faculity"/>
      <sheetName val="Courses"/>
      <sheetName val="Sheet2"/>
      <sheetName val="Sheet4"/>
      <sheetName val="MasterSheet"/>
      <sheetName val="GLM-testexcel"/>
    </sheetNames>
    <definedNames>
      <definedName name="CopyDataButton_Click"/>
    </definedNames>
    <sheetDataSet>
      <sheetData sheetId="0"/>
      <sheetData sheetId="1"/>
      <sheetData sheetId="2"/>
      <sheetData sheetId="3"/>
      <sheetData sheetId="4"/>
      <sheetData sheetId="5"/>
      <sheetData sheetId="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Faculity"/>
      <sheetName val="Courses"/>
      <sheetName val="Sheet2"/>
      <sheetName val="Sheet4"/>
      <sheetName val="MasterSheet"/>
    </sheetNames>
    <definedNames>
      <definedName name="CopyDataButton_Click"/>
    </definedNames>
    <sheetDataSet>
      <sheetData sheetId="0"/>
      <sheetData sheetId="1"/>
      <sheetData sheetId="2"/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hyperlink" Target="javascript:void(0)" TargetMode="External"/><Relationship Id="rId18" Type="http://schemas.openxmlformats.org/officeDocument/2006/relationships/hyperlink" Target="javascript:void(0)" TargetMode="External"/><Relationship Id="rId26" Type="http://schemas.openxmlformats.org/officeDocument/2006/relationships/hyperlink" Target="javascript:void(0)" TargetMode="External"/><Relationship Id="rId39" Type="http://schemas.openxmlformats.org/officeDocument/2006/relationships/hyperlink" Target="javascript:void(0)" TargetMode="External"/><Relationship Id="rId21" Type="http://schemas.openxmlformats.org/officeDocument/2006/relationships/hyperlink" Target="javascript:void(0)" TargetMode="External"/><Relationship Id="rId34" Type="http://schemas.openxmlformats.org/officeDocument/2006/relationships/hyperlink" Target="javascript:void(0)" TargetMode="External"/><Relationship Id="rId42" Type="http://schemas.openxmlformats.org/officeDocument/2006/relationships/hyperlink" Target="javascript:void(0)" TargetMode="External"/><Relationship Id="rId7" Type="http://schemas.openxmlformats.org/officeDocument/2006/relationships/hyperlink" Target="javascript:void(0)" TargetMode="External"/><Relationship Id="rId2" Type="http://schemas.openxmlformats.org/officeDocument/2006/relationships/hyperlink" Target="javascript:void(0)" TargetMode="External"/><Relationship Id="rId16" Type="http://schemas.openxmlformats.org/officeDocument/2006/relationships/hyperlink" Target="javascript:void(0)" TargetMode="External"/><Relationship Id="rId29" Type="http://schemas.openxmlformats.org/officeDocument/2006/relationships/hyperlink" Target="javascript:void(0)" TargetMode="External"/><Relationship Id="rId1" Type="http://schemas.openxmlformats.org/officeDocument/2006/relationships/hyperlink" Target="javascript:void(0)" TargetMode="External"/><Relationship Id="rId6" Type="http://schemas.openxmlformats.org/officeDocument/2006/relationships/hyperlink" Target="javascript:void(0)" TargetMode="External"/><Relationship Id="rId11" Type="http://schemas.openxmlformats.org/officeDocument/2006/relationships/hyperlink" Target="javascript:void(0)" TargetMode="External"/><Relationship Id="rId24" Type="http://schemas.openxmlformats.org/officeDocument/2006/relationships/hyperlink" Target="javascript:void(0)" TargetMode="External"/><Relationship Id="rId32" Type="http://schemas.openxmlformats.org/officeDocument/2006/relationships/hyperlink" Target="javascript:void(0)" TargetMode="External"/><Relationship Id="rId37" Type="http://schemas.openxmlformats.org/officeDocument/2006/relationships/hyperlink" Target="javascript:void(0)" TargetMode="External"/><Relationship Id="rId40" Type="http://schemas.openxmlformats.org/officeDocument/2006/relationships/hyperlink" Target="javascript:void(0)" TargetMode="External"/><Relationship Id="rId45" Type="http://schemas.openxmlformats.org/officeDocument/2006/relationships/hyperlink" Target="javascript:void(0)" TargetMode="External"/><Relationship Id="rId5" Type="http://schemas.openxmlformats.org/officeDocument/2006/relationships/hyperlink" Target="javascript:void(0)" TargetMode="External"/><Relationship Id="rId15" Type="http://schemas.openxmlformats.org/officeDocument/2006/relationships/hyperlink" Target="javascript:void(0)" TargetMode="External"/><Relationship Id="rId23" Type="http://schemas.openxmlformats.org/officeDocument/2006/relationships/hyperlink" Target="javascript:void(0)" TargetMode="External"/><Relationship Id="rId28" Type="http://schemas.openxmlformats.org/officeDocument/2006/relationships/hyperlink" Target="javascript:void(0)" TargetMode="External"/><Relationship Id="rId36" Type="http://schemas.openxmlformats.org/officeDocument/2006/relationships/hyperlink" Target="javascript:void(0)" TargetMode="External"/><Relationship Id="rId10" Type="http://schemas.openxmlformats.org/officeDocument/2006/relationships/hyperlink" Target="javascript:void(0)" TargetMode="External"/><Relationship Id="rId19" Type="http://schemas.openxmlformats.org/officeDocument/2006/relationships/hyperlink" Target="javascript:void(0)" TargetMode="External"/><Relationship Id="rId31" Type="http://schemas.openxmlformats.org/officeDocument/2006/relationships/hyperlink" Target="javascript:void(0)" TargetMode="External"/><Relationship Id="rId44" Type="http://schemas.openxmlformats.org/officeDocument/2006/relationships/hyperlink" Target="javascript:void(0)" TargetMode="External"/><Relationship Id="rId4" Type="http://schemas.openxmlformats.org/officeDocument/2006/relationships/hyperlink" Target="javascript:void(0)" TargetMode="External"/><Relationship Id="rId9" Type="http://schemas.openxmlformats.org/officeDocument/2006/relationships/hyperlink" Target="javascript:void(0)" TargetMode="External"/><Relationship Id="rId14" Type="http://schemas.openxmlformats.org/officeDocument/2006/relationships/hyperlink" Target="javascript:void(0)" TargetMode="External"/><Relationship Id="rId22" Type="http://schemas.openxmlformats.org/officeDocument/2006/relationships/hyperlink" Target="javascript:void(0)" TargetMode="External"/><Relationship Id="rId27" Type="http://schemas.openxmlformats.org/officeDocument/2006/relationships/hyperlink" Target="javascript:void(0)" TargetMode="External"/><Relationship Id="rId30" Type="http://schemas.openxmlformats.org/officeDocument/2006/relationships/hyperlink" Target="javascript:void(0)" TargetMode="External"/><Relationship Id="rId35" Type="http://schemas.openxmlformats.org/officeDocument/2006/relationships/hyperlink" Target="javascript:void(0)" TargetMode="External"/><Relationship Id="rId43" Type="http://schemas.openxmlformats.org/officeDocument/2006/relationships/hyperlink" Target="javascript:void(0)" TargetMode="External"/><Relationship Id="rId8" Type="http://schemas.openxmlformats.org/officeDocument/2006/relationships/hyperlink" Target="javascript:void(0)" TargetMode="External"/><Relationship Id="rId3" Type="http://schemas.openxmlformats.org/officeDocument/2006/relationships/hyperlink" Target="javascript:void(0)" TargetMode="External"/><Relationship Id="rId12" Type="http://schemas.openxmlformats.org/officeDocument/2006/relationships/hyperlink" Target="javascript:void(0)" TargetMode="External"/><Relationship Id="rId17" Type="http://schemas.openxmlformats.org/officeDocument/2006/relationships/hyperlink" Target="javascript:void(0)" TargetMode="External"/><Relationship Id="rId25" Type="http://schemas.openxmlformats.org/officeDocument/2006/relationships/hyperlink" Target="javascript:void(0)" TargetMode="External"/><Relationship Id="rId33" Type="http://schemas.openxmlformats.org/officeDocument/2006/relationships/hyperlink" Target="javascript:void(0)" TargetMode="External"/><Relationship Id="rId38" Type="http://schemas.openxmlformats.org/officeDocument/2006/relationships/hyperlink" Target="javascript:void(0)" TargetMode="External"/><Relationship Id="rId46" Type="http://schemas.openxmlformats.org/officeDocument/2006/relationships/hyperlink" Target="javascript:void(0)" TargetMode="External"/><Relationship Id="rId20" Type="http://schemas.openxmlformats.org/officeDocument/2006/relationships/hyperlink" Target="javascript:void(0)" TargetMode="External"/><Relationship Id="rId41" Type="http://schemas.openxmlformats.org/officeDocument/2006/relationships/hyperlink" Target="javascript:void(0)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Z68"/>
  <sheetViews>
    <sheetView showGridLines="0" tabSelected="1" topLeftCell="K1" workbookViewId="0">
      <pane ySplit="1" topLeftCell="A2" activePane="bottomLeft" state="frozen"/>
      <selection activeCell="H1" sqref="H1"/>
      <selection pane="bottomLeft" activeCell="U35" sqref="U35:Y35"/>
    </sheetView>
  </sheetViews>
  <sheetFormatPr baseColWidth="10" defaultColWidth="8.83203125" defaultRowHeight="15"/>
  <cols>
    <col min="1" max="1" width="8.83203125" customWidth="1"/>
    <col min="2" max="2" width="19.33203125" customWidth="1"/>
    <col min="3" max="3" width="19" style="15" customWidth="1"/>
    <col min="4" max="4" width="12.5" style="15" customWidth="1"/>
    <col min="5" max="5" width="18.5" style="15" customWidth="1"/>
    <col min="6" max="6" width="10.6640625" style="15" customWidth="1"/>
    <col min="7" max="7" width="16.6640625" style="15" customWidth="1"/>
    <col min="8" max="8" width="24.33203125" style="15" customWidth="1"/>
    <col min="9" max="9" width="16.6640625" style="15" customWidth="1"/>
    <col min="10" max="10" width="20.83203125" style="15" customWidth="1"/>
    <col min="11" max="11" width="21.1640625" style="15" customWidth="1"/>
    <col min="12" max="12" width="21.6640625" style="15" customWidth="1"/>
    <col min="13" max="13" width="21.1640625" customWidth="1"/>
    <col min="14" max="14" width="12.83203125" customWidth="1"/>
    <col min="15" max="15" width="28.83203125" bestFit="1" customWidth="1"/>
    <col min="16" max="16" width="24.5" bestFit="1" customWidth="1"/>
    <col min="17" max="17" width="11.6640625" bestFit="1" customWidth="1"/>
    <col min="18" max="18" width="20.5" bestFit="1" customWidth="1"/>
    <col min="19" max="19" width="21.5" customWidth="1"/>
    <col min="20" max="21" width="21.5" bestFit="1" customWidth="1"/>
    <col min="22" max="22" width="22.5" bestFit="1" customWidth="1"/>
    <col min="23" max="23" width="17.6640625" bestFit="1" customWidth="1"/>
    <col min="24" max="24" width="13.5" bestFit="1" customWidth="1"/>
    <col min="25" max="25" width="16.33203125" bestFit="1" customWidth="1"/>
    <col min="26" max="26" width="14.33203125" customWidth="1"/>
  </cols>
  <sheetData>
    <row r="1" spans="3:26" s="24" customFormat="1">
      <c r="C1" s="22" t="s">
        <v>0</v>
      </c>
      <c r="D1" s="22" t="s">
        <v>1</v>
      </c>
      <c r="E1" s="22" t="s">
        <v>2</v>
      </c>
      <c r="F1" s="22" t="s">
        <v>3</v>
      </c>
      <c r="G1" s="22" t="s">
        <v>4</v>
      </c>
      <c r="H1" s="22" t="s">
        <v>122</v>
      </c>
      <c r="I1" s="22" t="s">
        <v>5</v>
      </c>
      <c r="J1" s="22" t="s">
        <v>6</v>
      </c>
      <c r="K1" s="22" t="s">
        <v>7</v>
      </c>
      <c r="L1" s="22" t="s">
        <v>8</v>
      </c>
      <c r="M1" s="23" t="s">
        <v>9</v>
      </c>
      <c r="N1" s="22"/>
      <c r="O1" s="22" t="s">
        <v>10</v>
      </c>
      <c r="P1" s="22" t="s">
        <v>11</v>
      </c>
      <c r="Q1" s="22" t="s">
        <v>12</v>
      </c>
      <c r="T1" s="22" t="s">
        <v>13</v>
      </c>
      <c r="U1" s="22" t="s">
        <v>14</v>
      </c>
      <c r="V1" s="22" t="s">
        <v>15</v>
      </c>
      <c r="W1" s="22" t="s">
        <v>16</v>
      </c>
      <c r="X1" s="22" t="s">
        <v>17</v>
      </c>
      <c r="Y1" s="24" t="s">
        <v>124</v>
      </c>
      <c r="Z1" s="24" t="s">
        <v>123</v>
      </c>
    </row>
    <row r="2" spans="3:26" ht="16">
      <c r="C2" s="15">
        <v>1</v>
      </c>
      <c r="D2" s="15">
        <v>4</v>
      </c>
      <c r="E2" s="15" t="s">
        <v>18</v>
      </c>
      <c r="F2" s="15" t="s">
        <v>19</v>
      </c>
      <c r="G2" s="15">
        <f>IF(F2="FT",4,IF(F2="Adjunct",2,))</f>
        <v>4</v>
      </c>
      <c r="H2" s="15">
        <f>COUNTIF(P22:P65,I2)</f>
        <v>4</v>
      </c>
      <c r="I2" s="15" t="s">
        <v>20</v>
      </c>
      <c r="J2" s="16" t="s">
        <v>21</v>
      </c>
      <c r="K2" s="16" t="s">
        <v>22</v>
      </c>
      <c r="L2" s="16"/>
      <c r="M2" s="20">
        <v>21</v>
      </c>
      <c r="N2" s="15"/>
      <c r="O2" s="15" t="s">
        <v>22</v>
      </c>
      <c r="P2" s="19" t="s">
        <v>24</v>
      </c>
      <c r="Q2" s="15" t="s">
        <v>25</v>
      </c>
      <c r="R2" s="1"/>
      <c r="T2" s="15">
        <v>4</v>
      </c>
      <c r="U2" s="15">
        <v>1</v>
      </c>
      <c r="V2" s="15">
        <v>1</v>
      </c>
      <c r="W2" s="15">
        <v>2</v>
      </c>
      <c r="X2" s="15">
        <f>(V2*V2)*W2</f>
        <v>2</v>
      </c>
      <c r="Y2" s="15"/>
      <c r="Z2" s="15"/>
    </row>
    <row r="3" spans="3:26" ht="16">
      <c r="C3" s="15">
        <v>1</v>
      </c>
      <c r="D3" s="15">
        <v>6</v>
      </c>
      <c r="E3" s="15" t="s">
        <v>26</v>
      </c>
      <c r="F3" s="15" t="s">
        <v>27</v>
      </c>
      <c r="G3" s="15">
        <f t="shared" ref="G3:G33" si="0">IF(F3="FT",4,IF(F3="Adjunct",2,))</f>
        <v>2</v>
      </c>
      <c r="H3" s="15">
        <f>COUNTIF(P22:P65,I3)</f>
        <v>2</v>
      </c>
      <c r="I3" s="15" t="s">
        <v>28</v>
      </c>
      <c r="J3" s="16" t="s">
        <v>29</v>
      </c>
      <c r="K3" s="15" t="s">
        <v>32</v>
      </c>
      <c r="L3" s="16"/>
      <c r="M3" s="20">
        <v>22</v>
      </c>
      <c r="N3" s="15"/>
      <c r="O3" s="15" t="s">
        <v>32</v>
      </c>
      <c r="P3" s="19" t="s">
        <v>24</v>
      </c>
      <c r="Q3" s="15" t="s">
        <v>25</v>
      </c>
      <c r="R3" s="1"/>
      <c r="T3" s="60" t="str">
        <f>IF(T2=1,"Akram Ahmed",IF(T2=2,"Andrea Jones",IF(T2=3,"Anne Pugliese",IF(T2=4,"Anstasia Biggs",IF(T2=5,"Bill Schiano",IF(T2=6,"Bill Vanderclock",IF(T2=7,"Charles Wright",IF(T2=8,"Daniel Sheehan",IF(T2=9,"David Rude",IF(T2=10,"David Yates",IF(T2=11,"Donald Aucoin",IF(T2=12, "Elizabeth McCarron",IF(T2=13,"Gaurav Shah",IF(T2=14,"Heikki Topi",IF(T2=15, "James Pape",IF(T2=16,"Jay Cooprider", IF(T2=17, "Jennifer Xu", IF(T2=18,"Joed Graf", IF(T2=19,"Joseph Nezuh",IF(T2=20,"Les Waguespack",IF(T2=21,"Mark Frydenberg",IF(T2=22,"Matthew Macarty",IF(T2=23, "Michael Banks",IF(T2=24,"Mimoza Dimodugno",IF(T2=25,"Monica Garfield",IF(T2=26, "Robert Stubbs", IF(T2=27, "Stephen Tracy", IF(T2=28,"Tamara Babaian",IF(T2=29, "Trish Rice",IF(T2=30,"Vatche Ishakian",IF(T2=31,"Wendy Lucas",IF(T2=32,"Xinru Page",))))))))))))))))))))))))))))))))</f>
        <v>Anstasia Biggs</v>
      </c>
      <c r="U3" s="60" t="str">
        <f>IF(U2=1,"IT 101",IF(U2=2,"CS 150",IF(U2=3,"CS 180",IF(U2=4,"CS 213",IF(U2=5,"CS 240",IF(U2=6,"CS 299",IF(U2=7,"CS 350",IF(U2=8,"CS 360",IF(U2=9,"CS 460",IF(U2=10,"CS 480",IF(U2=11,"CS 603",IF(U2=12, "CS 605",IF(U2=13,"CS 607",IF(U2=14,"CS 610",IF(U2=15, "CS 620",IF(U2=16,"CS 630", IF(U2=17, "CS 650", IF(U2=18,"CS 680",))))))))))))))))))</f>
        <v>IT 101</v>
      </c>
      <c r="V3" s="60" t="str">
        <f>IF(V2=1,"M",IF(V2=2,"MW",IF(V2=3,"MR",IF(V2=4,"T",IF(V2=5,"TR",IF(V2=6,"TF",IF(V2=7,"W",IF(V2=8,"R",))))))))</f>
        <v>M</v>
      </c>
      <c r="W3" s="60" t="str">
        <f>IF(W2=1,"05:00PM - 07:20PM",IF(W2=2,"07:30PM - 09:50PM",))</f>
        <v>07:30PM - 09:50PM</v>
      </c>
      <c r="X3" s="60"/>
      <c r="Y3" s="60">
        <f>IF(T2=1,H2,IF(T2=2,H3,IF(T2=3,H4,IF(T2=4,H5,IF(T2=5,H6,IF(T2=6,H7,IF(T2=7,H8,IF(T2=8,H9,IF(T2=9,H10,IF(T2=10,H11,IF(T2=11,H12,IF(T2=12, H13,IF(T2=13,H14,IF(T2=14,H15,IF(T2=15, H16,IF(T2=16,H17, IF(T2=17, H18, IF(T2=18,H19, IF(T2=19,H20,IF(T2=20,H21,IF(T2=21,H22,IF(T2=22,H23,IF(T2=23, H24,IF(T2=24,H25,IF(T2=25,H26,IF(T2=26, H27, IF(T2=27, H28, IF(T2=28,H29,IF(T2=29, H30,IF(T2=30,H31,IF(T2=31,H32,IF(T2=32,H33,))))))))))))))))))))))))))))))))</f>
        <v>2</v>
      </c>
      <c r="Z3" s="60">
        <f>IF(T2=1,G2,IF(T2=2,G3,IF(T2=3,G4,IF(T2=4,G5,IF(T2=5,G6,IF(T2=6,G7,IF(T2=7,G8,IF(T2=8,G9,IF(T2=9,G10,IF(T2=10,G11,IF(T2=11,G12,IF(T2=12, G13,IF(T2=13,G14,IF(T2=14,G15,IF(T2=15, G16,IF(T2=16,G17, IF(T2=17, G18, IF(T2=18,G19, IF(T2=19,G20,IF(T2=20,G21,IF(T2=21,G22,IF(T2=22,G23,IF(T2=23, G24,IF(T2=24,G25,IF(T2=25,G26,IF(T2=26, G27, IF(T2=27, G28, IF(T2=28,G29,IF(T2=29, G30,IF(T2=30,G31,IF(T2=31,G32,IF(T2=32,G33,))))))))))))))))))))))))))))))))</f>
        <v>2</v>
      </c>
    </row>
    <row r="4" spans="3:26" ht="16">
      <c r="C4" s="15">
        <v>1</v>
      </c>
      <c r="D4" s="15">
        <v>6</v>
      </c>
      <c r="E4" s="15" t="s">
        <v>26</v>
      </c>
      <c r="F4" s="15" t="s">
        <v>27</v>
      </c>
      <c r="G4" s="15">
        <f t="shared" si="0"/>
        <v>2</v>
      </c>
      <c r="H4" s="15">
        <f>COUNTIF(P22:P65,I4)</f>
        <v>2</v>
      </c>
      <c r="I4" s="15" t="s">
        <v>33</v>
      </c>
      <c r="J4" s="16" t="s">
        <v>34</v>
      </c>
      <c r="K4" s="15" t="s">
        <v>37</v>
      </c>
      <c r="L4" s="16"/>
      <c r="M4" s="20">
        <v>23</v>
      </c>
      <c r="N4" s="15"/>
      <c r="O4" s="15" t="s">
        <v>37</v>
      </c>
      <c r="P4" s="19" t="s">
        <v>24</v>
      </c>
      <c r="Q4" s="15" t="s">
        <v>25</v>
      </c>
      <c r="R4" s="1"/>
      <c r="T4" s="15">
        <v>9</v>
      </c>
      <c r="U4" s="15">
        <v>9</v>
      </c>
      <c r="V4" s="15">
        <v>1</v>
      </c>
      <c r="W4" s="15">
        <v>9</v>
      </c>
      <c r="X4" s="15">
        <v>9</v>
      </c>
      <c r="Y4" s="15"/>
      <c r="Z4" s="15"/>
    </row>
    <row r="5" spans="3:26" ht="16">
      <c r="C5" s="15">
        <v>1</v>
      </c>
      <c r="D5" s="15">
        <v>6</v>
      </c>
      <c r="E5" s="15" t="s">
        <v>26</v>
      </c>
      <c r="F5" s="15" t="s">
        <v>27</v>
      </c>
      <c r="G5" s="15">
        <f t="shared" si="0"/>
        <v>2</v>
      </c>
      <c r="H5" s="15">
        <f>COUNTIF(P22:P65,I5)</f>
        <v>2</v>
      </c>
      <c r="I5" s="15" t="s">
        <v>38</v>
      </c>
      <c r="J5" s="16" t="s">
        <v>39</v>
      </c>
      <c r="K5" s="16" t="s">
        <v>41</v>
      </c>
      <c r="L5" s="16"/>
      <c r="M5" s="20">
        <v>24</v>
      </c>
      <c r="N5" s="15"/>
      <c r="O5" s="15" t="s">
        <v>41</v>
      </c>
      <c r="P5" s="19" t="s">
        <v>24</v>
      </c>
      <c r="Q5" s="15" t="s">
        <v>25</v>
      </c>
      <c r="R5" s="1"/>
    </row>
    <row r="6" spans="3:26" ht="16">
      <c r="C6" s="15">
        <v>1</v>
      </c>
      <c r="D6" s="15">
        <v>1</v>
      </c>
      <c r="E6" s="15" t="s">
        <v>42</v>
      </c>
      <c r="F6" s="15" t="s">
        <v>19</v>
      </c>
      <c r="G6" s="15">
        <f t="shared" si="0"/>
        <v>4</v>
      </c>
      <c r="H6" s="15">
        <f>COUNTIF(P22:P65,I6)</f>
        <v>4</v>
      </c>
      <c r="I6" s="15" t="s">
        <v>43</v>
      </c>
      <c r="J6" s="16" t="s">
        <v>44</v>
      </c>
      <c r="K6" s="16" t="s">
        <v>45</v>
      </c>
      <c r="L6" s="16"/>
      <c r="M6" s="20">
        <v>25</v>
      </c>
      <c r="N6" s="15"/>
      <c r="O6" s="15" t="s">
        <v>22</v>
      </c>
      <c r="P6" s="19" t="s">
        <v>25</v>
      </c>
      <c r="Q6" s="15" t="s">
        <v>47</v>
      </c>
      <c r="R6" s="1"/>
    </row>
    <row r="7" spans="3:26" ht="16">
      <c r="C7" s="15">
        <v>1</v>
      </c>
      <c r="D7" s="15">
        <v>4</v>
      </c>
      <c r="E7" s="15" t="s">
        <v>18</v>
      </c>
      <c r="F7" s="15" t="s">
        <v>19</v>
      </c>
      <c r="G7" s="15">
        <f t="shared" si="0"/>
        <v>4</v>
      </c>
      <c r="H7" s="15">
        <f>COUNTIF(P22:P65,I7)</f>
        <v>0</v>
      </c>
      <c r="I7" s="15" t="s">
        <v>48</v>
      </c>
      <c r="J7" s="16" t="s">
        <v>49</v>
      </c>
      <c r="K7" s="16" t="s">
        <v>50</v>
      </c>
      <c r="L7" s="16"/>
      <c r="M7" s="20">
        <v>26</v>
      </c>
      <c r="N7" s="15"/>
      <c r="O7" s="15" t="s">
        <v>32</v>
      </c>
      <c r="P7" s="19" t="s">
        <v>25</v>
      </c>
      <c r="Q7" s="15" t="s">
        <v>47</v>
      </c>
      <c r="R7" s="1"/>
    </row>
    <row r="8" spans="3:26" ht="16">
      <c r="C8" s="15">
        <v>1</v>
      </c>
      <c r="D8" s="15">
        <v>6</v>
      </c>
      <c r="E8" s="15" t="s">
        <v>26</v>
      </c>
      <c r="F8" s="15" t="s">
        <v>27</v>
      </c>
      <c r="G8" s="15">
        <f t="shared" si="0"/>
        <v>2</v>
      </c>
      <c r="H8" s="15">
        <f>COUNTIF(P22:P65,I8)</f>
        <v>0</v>
      </c>
      <c r="I8" s="15" t="s">
        <v>53</v>
      </c>
      <c r="J8" s="16" t="s">
        <v>54</v>
      </c>
      <c r="K8" s="16" t="s">
        <v>30</v>
      </c>
      <c r="L8" s="16"/>
      <c r="M8" s="20">
        <v>27</v>
      </c>
      <c r="N8" s="15"/>
      <c r="O8" s="15" t="s">
        <v>37</v>
      </c>
      <c r="P8" s="19" t="s">
        <v>25</v>
      </c>
      <c r="Q8" s="15" t="s">
        <v>47</v>
      </c>
      <c r="R8" s="1"/>
    </row>
    <row r="9" spans="3:26" ht="16">
      <c r="C9" s="15">
        <v>1</v>
      </c>
      <c r="D9" s="15">
        <v>6</v>
      </c>
      <c r="E9" s="15" t="s">
        <v>26</v>
      </c>
      <c r="F9" s="15" t="s">
        <v>27</v>
      </c>
      <c r="G9" s="15">
        <f t="shared" si="0"/>
        <v>2</v>
      </c>
      <c r="H9" s="15">
        <f>COUNTIF(P22:P65,I9)</f>
        <v>0</v>
      </c>
      <c r="I9" s="15" t="s">
        <v>56</v>
      </c>
      <c r="J9" s="16" t="s">
        <v>57</v>
      </c>
      <c r="K9" s="16" t="s">
        <v>35</v>
      </c>
      <c r="L9" s="16"/>
      <c r="M9" s="20">
        <v>28</v>
      </c>
      <c r="N9" s="15"/>
      <c r="O9" s="15" t="s">
        <v>41</v>
      </c>
      <c r="P9" s="19" t="s">
        <v>25</v>
      </c>
      <c r="Q9" s="15" t="s">
        <v>47</v>
      </c>
      <c r="R9" s="1"/>
    </row>
    <row r="10" spans="3:26" ht="16">
      <c r="C10" s="15">
        <v>1</v>
      </c>
      <c r="D10" s="15">
        <v>6</v>
      </c>
      <c r="E10" s="15" t="s">
        <v>26</v>
      </c>
      <c r="F10" s="15" t="s">
        <v>27</v>
      </c>
      <c r="G10" s="15">
        <f t="shared" si="0"/>
        <v>2</v>
      </c>
      <c r="H10" s="15">
        <f>COUNTIF(P22:P65,I10)</f>
        <v>0</v>
      </c>
      <c r="I10" s="15" t="s">
        <v>60</v>
      </c>
      <c r="J10" s="16" t="s">
        <v>61</v>
      </c>
      <c r="L10" s="16" t="s">
        <v>58</v>
      </c>
      <c r="M10" s="1"/>
      <c r="N10" s="1"/>
    </row>
    <row r="11" spans="3:26" ht="17" thickBot="1">
      <c r="C11" s="15">
        <v>1</v>
      </c>
      <c r="D11" s="15">
        <v>2</v>
      </c>
      <c r="E11" s="15" t="s">
        <v>63</v>
      </c>
      <c r="F11" s="15" t="s">
        <v>19</v>
      </c>
      <c r="G11" s="15">
        <f t="shared" si="0"/>
        <v>4</v>
      </c>
      <c r="H11" s="15">
        <f>COUNTIF(P22:P65,I11)</f>
        <v>0</v>
      </c>
      <c r="I11" s="15" t="s">
        <v>64</v>
      </c>
      <c r="J11" s="16" t="s">
        <v>65</v>
      </c>
      <c r="L11" s="16" t="s">
        <v>66</v>
      </c>
      <c r="M11" s="1"/>
      <c r="N11" s="1"/>
    </row>
    <row r="12" spans="3:26" ht="16">
      <c r="C12" s="15">
        <v>1</v>
      </c>
      <c r="D12" s="15">
        <v>6</v>
      </c>
      <c r="E12" s="15" t="s">
        <v>26</v>
      </c>
      <c r="F12" s="15" t="s">
        <v>27</v>
      </c>
      <c r="G12" s="15">
        <f t="shared" si="0"/>
        <v>2</v>
      </c>
      <c r="H12" s="15">
        <f>COUNTIF(P22:P65,I12)</f>
        <v>0</v>
      </c>
      <c r="I12" s="15" t="s">
        <v>68</v>
      </c>
      <c r="J12" s="16" t="s">
        <v>69</v>
      </c>
      <c r="K12" s="25" t="s">
        <v>70</v>
      </c>
      <c r="L12" s="25" t="s">
        <v>71</v>
      </c>
      <c r="Q12" s="1"/>
      <c r="R12" s="3" t="s">
        <v>72</v>
      </c>
      <c r="S12" s="4" t="s">
        <v>73</v>
      </c>
      <c r="T12" s="4"/>
      <c r="U12" s="4"/>
      <c r="V12" s="4"/>
      <c r="W12" s="5"/>
    </row>
    <row r="13" spans="3:26" ht="16">
      <c r="C13" s="15">
        <v>1</v>
      </c>
      <c r="D13" s="15">
        <v>5</v>
      </c>
      <c r="E13" s="15" t="s">
        <v>74</v>
      </c>
      <c r="F13" s="15" t="s">
        <v>19</v>
      </c>
      <c r="G13" s="15">
        <f t="shared" si="0"/>
        <v>4</v>
      </c>
      <c r="H13" s="15">
        <f>COUNTIF(P22:P65,I13)</f>
        <v>0</v>
      </c>
      <c r="I13" s="15" t="s">
        <v>75</v>
      </c>
      <c r="J13" s="16" t="s">
        <v>76</v>
      </c>
      <c r="K13" s="21">
        <v>1</v>
      </c>
      <c r="L13" s="16">
        <v>7</v>
      </c>
      <c r="Q13" s="1"/>
      <c r="R13" s="6" t="s">
        <v>77</v>
      </c>
      <c r="S13" s="7" t="s">
        <v>78</v>
      </c>
      <c r="T13" s="7" t="s">
        <v>79</v>
      </c>
      <c r="U13" s="7" t="s">
        <v>80</v>
      </c>
      <c r="V13" s="7" t="s">
        <v>81</v>
      </c>
      <c r="W13" s="8" t="s">
        <v>82</v>
      </c>
    </row>
    <row r="14" spans="3:26" ht="16">
      <c r="C14" s="15">
        <v>1</v>
      </c>
      <c r="D14" s="15">
        <v>6</v>
      </c>
      <c r="E14" s="15" t="s">
        <v>26</v>
      </c>
      <c r="F14" s="15" t="s">
        <v>27</v>
      </c>
      <c r="G14" s="15">
        <f t="shared" si="0"/>
        <v>2</v>
      </c>
      <c r="H14" s="15">
        <f>COUNTIF(P22:P65,I14)</f>
        <v>0</v>
      </c>
      <c r="I14" s="15" t="s">
        <v>84</v>
      </c>
      <c r="J14" s="16" t="s">
        <v>85</v>
      </c>
      <c r="K14" s="21">
        <v>4</v>
      </c>
      <c r="L14" s="16">
        <v>9</v>
      </c>
      <c r="Q14" s="1"/>
      <c r="R14" s="9" t="s">
        <v>86</v>
      </c>
      <c r="S14" s="10">
        <v>8</v>
      </c>
      <c r="T14" s="10">
        <v>128</v>
      </c>
      <c r="U14" s="10">
        <v>392</v>
      </c>
      <c r="V14" s="10">
        <v>512</v>
      </c>
      <c r="W14" s="11" t="s">
        <v>87</v>
      </c>
    </row>
    <row r="15" spans="3:26" ht="17" thickBot="1">
      <c r="C15" s="15">
        <v>1</v>
      </c>
      <c r="D15" s="15">
        <v>1</v>
      </c>
      <c r="E15" s="15" t="s">
        <v>42</v>
      </c>
      <c r="F15" s="15" t="s">
        <v>19</v>
      </c>
      <c r="G15" s="15">
        <f t="shared" si="0"/>
        <v>4</v>
      </c>
      <c r="H15" s="15">
        <f>COUNTIF(P22:P65,I15)</f>
        <v>0</v>
      </c>
      <c r="I15" s="15" t="s">
        <v>88</v>
      </c>
      <c r="J15" s="16" t="s">
        <v>89</v>
      </c>
      <c r="K15" s="21">
        <v>7</v>
      </c>
      <c r="Q15" s="1"/>
      <c r="R15" s="12" t="s">
        <v>90</v>
      </c>
      <c r="S15" s="13">
        <v>10</v>
      </c>
      <c r="T15" s="13">
        <v>160</v>
      </c>
      <c r="U15" s="13">
        <v>490</v>
      </c>
      <c r="V15" s="13">
        <v>640</v>
      </c>
      <c r="W15" s="14" t="s">
        <v>87</v>
      </c>
    </row>
    <row r="16" spans="3:26" ht="16">
      <c r="C16" s="15">
        <v>1</v>
      </c>
      <c r="D16" s="15">
        <v>4</v>
      </c>
      <c r="E16" s="15" t="s">
        <v>18</v>
      </c>
      <c r="F16" s="15" t="s">
        <v>19</v>
      </c>
      <c r="G16" s="15">
        <f t="shared" si="0"/>
        <v>4</v>
      </c>
      <c r="H16" s="15">
        <f>COUNTIF(P22:P65,I16)</f>
        <v>0</v>
      </c>
      <c r="I16" s="15" t="s">
        <v>91</v>
      </c>
      <c r="J16" s="16" t="s">
        <v>92</v>
      </c>
      <c r="K16" s="21">
        <v>8</v>
      </c>
      <c r="Q16" s="1"/>
      <c r="R16" s="1"/>
      <c r="T16" s="1"/>
    </row>
    <row r="17" spans="3:26" ht="16">
      <c r="C17" s="15">
        <v>1</v>
      </c>
      <c r="D17" s="15">
        <v>2</v>
      </c>
      <c r="E17" s="15" t="s">
        <v>63</v>
      </c>
      <c r="F17" s="15" t="s">
        <v>19</v>
      </c>
      <c r="G17" s="15">
        <f t="shared" si="0"/>
        <v>4</v>
      </c>
      <c r="H17" s="15">
        <f>COUNTIF(P22:P65,I17)</f>
        <v>0</v>
      </c>
      <c r="I17" s="15" t="s">
        <v>93</v>
      </c>
      <c r="J17" s="16" t="s">
        <v>94</v>
      </c>
      <c r="P17" s="15" t="s">
        <v>95</v>
      </c>
      <c r="Q17" s="16"/>
      <c r="R17" s="15" t="s">
        <v>77</v>
      </c>
      <c r="S17" s="15" t="s">
        <v>78</v>
      </c>
      <c r="T17" s="15" t="s">
        <v>79</v>
      </c>
      <c r="U17" s="15" t="s">
        <v>80</v>
      </c>
      <c r="V17" s="15" t="s">
        <v>81</v>
      </c>
      <c r="W17" s="15" t="s">
        <v>82</v>
      </c>
    </row>
    <row r="18" spans="3:26" ht="16">
      <c r="C18" s="15">
        <v>1</v>
      </c>
      <c r="D18" s="15">
        <v>2</v>
      </c>
      <c r="E18" s="15" t="s">
        <v>63</v>
      </c>
      <c r="F18" s="15" t="s">
        <v>19</v>
      </c>
      <c r="G18" s="15">
        <f t="shared" si="0"/>
        <v>4</v>
      </c>
      <c r="H18" s="15">
        <f>COUNTIF(P22:P65,I18)</f>
        <v>0</v>
      </c>
      <c r="I18" s="15" t="s">
        <v>96</v>
      </c>
      <c r="J18" s="16" t="s">
        <v>97</v>
      </c>
      <c r="K18" s="21"/>
      <c r="P18" s="15"/>
      <c r="Q18" s="16"/>
      <c r="R18" s="17" t="s">
        <v>86</v>
      </c>
      <c r="S18" s="18" t="e">
        <f ca="1">_xlfn.CONCAT(INDEX($P$22:$Y$65,MATCH($S$14,$Y$22:$Y$65,0),1)," ",INDEX($P$22:$Y$65,MATCH($S$14,$Y$22:$Y$65,0),2))</f>
        <v>#NAME?</v>
      </c>
      <c r="T18" s="18" t="e">
        <f ca="1">_xlfn.CONCAT(INDEX($P$22:$Y$65,MATCH($T$14,$Y$22:$Y$65,0),1)," ",INDEX($P$22:$Y$65,MATCH($T$14,$Y$22:$Y$65,0),2))</f>
        <v>#NAME?</v>
      </c>
      <c r="U18" s="18" t="e">
        <f ca="1">_xlfn.CONCAT(INDEX($P$22:$Y$65,MATCH($U$14,$Y$22:$Y$65,0),1)," ",INDEX($P$22:$Y$65,MATCH($U$14,$Y$22:$Y$65,0),2))</f>
        <v>#NAME?</v>
      </c>
      <c r="V18" s="18" t="e">
        <f ca="1">_xlfn.CONCAT(INDEX($P$22:$Y$65,MATCH($V$14,$Y$22:$Y$65,0),1)," ",INDEX($P$22:$Y$65,MATCH($V$14,$Y$22:$Y$65,0),2))</f>
        <v>#NAME?</v>
      </c>
      <c r="W18" s="18" t="s">
        <v>87</v>
      </c>
    </row>
    <row r="19" spans="3:26" ht="16">
      <c r="C19" s="15">
        <v>1</v>
      </c>
      <c r="D19" s="15">
        <v>6</v>
      </c>
      <c r="E19" s="15" t="s">
        <v>26</v>
      </c>
      <c r="F19" s="15" t="s">
        <v>27</v>
      </c>
      <c r="G19" s="15">
        <f t="shared" si="0"/>
        <v>2</v>
      </c>
      <c r="H19" s="15">
        <f>COUNTIF(P22:P65,I19)</f>
        <v>0</v>
      </c>
      <c r="I19" s="15" t="s">
        <v>98</v>
      </c>
      <c r="J19" s="16" t="s">
        <v>99</v>
      </c>
      <c r="K19" s="21"/>
      <c r="P19" s="15"/>
      <c r="Q19" s="16"/>
      <c r="R19" s="17" t="s">
        <v>90</v>
      </c>
      <c r="S19" s="18" t="e">
        <f ca="1">_xlfn.CONCAT(INDEX($P$22:$Y$65,MATCH($S$15,$Y$22:$Y$65,0),1)," ",INDEX($P$22:$Y$65,MATCH($S$15,$Y$22:$Y$65,0),2))</f>
        <v>#NAME?</v>
      </c>
      <c r="T19" s="18" t="e">
        <f ca="1">_xlfn.CONCAT(INDEX($P$22:$Y$65,MATCH($T$15,$Y$22:$Y$65,0),1)," ",INDEX($P$22:$Y$65,MATCH($T$15,$Y$22:$Y$65,0),2))</f>
        <v>#NAME?</v>
      </c>
      <c r="U19" s="18" t="e">
        <f ca="1">_xlfn.CONCAT(INDEX($P$22:$Y$65,MATCH($U$15,$Y$22:$Y$65,0),1)," ",INDEX($P$22:$Y$65,MATCH($U$15,$Y$22:$Y$65,0),2))</f>
        <v>#NAME?</v>
      </c>
      <c r="V19" s="18" t="e">
        <f ca="1">_xlfn.CONCAT(INDEX($P$22:$Y$65,MATCH($V$15,$Y$22:$Y$65,0),1)," ",INDEX($P$22:$Y$65,MATCH($V$15,$Y$22:$Y$65,0),2))</f>
        <v>#NAME?</v>
      </c>
      <c r="W19" s="18" t="s">
        <v>87</v>
      </c>
    </row>
    <row r="20" spans="3:26" ht="17" thickBot="1">
      <c r="C20" s="15">
        <v>1</v>
      </c>
      <c r="D20" s="15">
        <v>6</v>
      </c>
      <c r="E20" s="15" t="s">
        <v>26</v>
      </c>
      <c r="F20" s="15" t="s">
        <v>27</v>
      </c>
      <c r="G20" s="15">
        <f t="shared" si="0"/>
        <v>2</v>
      </c>
      <c r="H20" s="15">
        <f>COUNTIF(P22:P65,I20)</f>
        <v>0</v>
      </c>
      <c r="I20" s="15" t="s">
        <v>100</v>
      </c>
      <c r="K20" s="16"/>
      <c r="L20" s="16"/>
      <c r="M20" s="2"/>
      <c r="N20" s="2"/>
      <c r="O20" s="45"/>
      <c r="P20" s="45"/>
      <c r="Q20" s="45"/>
      <c r="R20" s="45"/>
      <c r="S20" s="45"/>
      <c r="T20" s="45"/>
      <c r="U20" s="45"/>
      <c r="V20" s="45"/>
      <c r="W20" s="45"/>
      <c r="X20" s="45"/>
      <c r="Y20" s="45"/>
      <c r="Z20" s="45"/>
    </row>
    <row r="21" spans="3:26" ht="19">
      <c r="C21" s="15">
        <v>1</v>
      </c>
      <c r="D21" s="15">
        <v>1</v>
      </c>
      <c r="E21" s="15" t="s">
        <v>42</v>
      </c>
      <c r="F21" s="15" t="s">
        <v>19</v>
      </c>
      <c r="G21" s="15">
        <f t="shared" si="0"/>
        <v>4</v>
      </c>
      <c r="H21" s="15">
        <f>COUNTIF(P22:P65,I21)</f>
        <v>0</v>
      </c>
      <c r="I21" s="15" t="s">
        <v>101</v>
      </c>
      <c r="K21" s="16"/>
      <c r="L21" s="16"/>
      <c r="M21" s="32"/>
      <c r="N21" s="33"/>
      <c r="O21" s="26" t="s">
        <v>102</v>
      </c>
      <c r="P21" s="36" t="s">
        <v>42</v>
      </c>
      <c r="Q21" s="37" t="s">
        <v>103</v>
      </c>
      <c r="R21" s="37" t="s">
        <v>104</v>
      </c>
      <c r="S21" s="37" t="s">
        <v>77</v>
      </c>
      <c r="T21" s="37"/>
      <c r="U21" s="37" t="s">
        <v>13</v>
      </c>
      <c r="V21" s="37" t="s">
        <v>105</v>
      </c>
      <c r="W21" s="37" t="s">
        <v>15</v>
      </c>
      <c r="X21" s="37" t="s">
        <v>16</v>
      </c>
      <c r="Y21" s="38" t="s">
        <v>106</v>
      </c>
      <c r="Z21" s="45"/>
    </row>
    <row r="22" spans="3:26" ht="16">
      <c r="C22" s="15">
        <v>1</v>
      </c>
      <c r="D22" s="15">
        <v>4</v>
      </c>
      <c r="E22" s="15" t="s">
        <v>18</v>
      </c>
      <c r="F22" s="15" t="s">
        <v>19</v>
      </c>
      <c r="G22" s="15">
        <f t="shared" si="0"/>
        <v>4</v>
      </c>
      <c r="H22" s="15">
        <f>COUNTIF(P22:P65,I22)</f>
        <v>0</v>
      </c>
      <c r="I22" s="15" t="s">
        <v>107</v>
      </c>
      <c r="K22" s="16"/>
      <c r="L22" s="16"/>
      <c r="M22" s="28"/>
      <c r="N22" s="27"/>
      <c r="O22" s="27"/>
      <c r="P22" s="29" t="s">
        <v>43</v>
      </c>
      <c r="Q22" s="30" t="s">
        <v>120</v>
      </c>
      <c r="R22" s="30" t="s">
        <v>37</v>
      </c>
      <c r="S22" s="30">
        <v>0</v>
      </c>
      <c r="T22" s="30"/>
      <c r="U22" s="30">
        <v>5</v>
      </c>
      <c r="V22" s="30">
        <v>14</v>
      </c>
      <c r="W22" s="30">
        <v>7</v>
      </c>
      <c r="X22" s="30">
        <v>10</v>
      </c>
      <c r="Y22" s="31">
        <v>490</v>
      </c>
      <c r="Z22" s="45"/>
    </row>
    <row r="23" spans="3:26" ht="16">
      <c r="C23" s="15">
        <v>1</v>
      </c>
      <c r="D23" s="15">
        <v>6</v>
      </c>
      <c r="E23" s="15" t="s">
        <v>26</v>
      </c>
      <c r="F23" s="15" t="s">
        <v>27</v>
      </c>
      <c r="G23" s="15">
        <f t="shared" si="0"/>
        <v>2</v>
      </c>
      <c r="H23" s="15">
        <f>COUNTIF(P22:P65,I23)</f>
        <v>0</v>
      </c>
      <c r="I23" s="15" t="s">
        <v>108</v>
      </c>
      <c r="K23" s="16"/>
      <c r="L23" s="16"/>
      <c r="M23" s="28"/>
      <c r="N23" s="34"/>
      <c r="O23" s="34"/>
      <c r="P23" s="39" t="s">
        <v>33</v>
      </c>
      <c r="Q23" s="40" t="s">
        <v>121</v>
      </c>
      <c r="R23" s="40" t="s">
        <v>32</v>
      </c>
      <c r="S23" s="40">
        <v>0</v>
      </c>
      <c r="T23" s="40"/>
      <c r="U23" s="40">
        <v>3</v>
      </c>
      <c r="V23" s="40">
        <v>12</v>
      </c>
      <c r="W23" s="40">
        <v>4</v>
      </c>
      <c r="X23" s="40">
        <v>10</v>
      </c>
      <c r="Y23" s="41">
        <v>160</v>
      </c>
      <c r="Z23" s="45"/>
    </row>
    <row r="24" spans="3:26" ht="16">
      <c r="C24" s="15">
        <v>1</v>
      </c>
      <c r="D24" s="15">
        <v>6</v>
      </c>
      <c r="E24" s="15" t="s">
        <v>26</v>
      </c>
      <c r="F24" s="15" t="s">
        <v>27</v>
      </c>
      <c r="G24" s="15">
        <f t="shared" si="0"/>
        <v>2</v>
      </c>
      <c r="H24" s="15">
        <f>COUNTIF(P22:P65,I24)</f>
        <v>0</v>
      </c>
      <c r="I24" s="15" t="s">
        <v>109</v>
      </c>
      <c r="K24" s="16"/>
      <c r="L24" s="16"/>
      <c r="M24" s="27"/>
      <c r="N24" s="46" t="s">
        <v>52</v>
      </c>
      <c r="O24" s="35"/>
      <c r="P24" s="29" t="s">
        <v>33</v>
      </c>
      <c r="Q24" s="30" t="s">
        <v>121</v>
      </c>
      <c r="R24" s="30" t="s">
        <v>32</v>
      </c>
      <c r="S24" s="30">
        <v>0</v>
      </c>
      <c r="T24" s="30"/>
      <c r="U24" s="30">
        <v>3</v>
      </c>
      <c r="V24" s="30">
        <v>12</v>
      </c>
      <c r="W24" s="30">
        <v>4</v>
      </c>
      <c r="X24" s="30">
        <v>10</v>
      </c>
      <c r="Y24" s="31">
        <v>160</v>
      </c>
      <c r="Z24" s="45"/>
    </row>
    <row r="25" spans="3:26" ht="16">
      <c r="C25" s="15">
        <v>1</v>
      </c>
      <c r="D25" s="15">
        <v>6</v>
      </c>
      <c r="E25" s="15" t="s">
        <v>26</v>
      </c>
      <c r="F25" s="15" t="s">
        <v>27</v>
      </c>
      <c r="G25" s="15">
        <f t="shared" si="0"/>
        <v>2</v>
      </c>
      <c r="H25" s="15">
        <f>COUNTIF(P22:P65,I25)</f>
        <v>0</v>
      </c>
      <c r="I25" s="15" t="s">
        <v>110</v>
      </c>
      <c r="K25" s="16"/>
      <c r="L25" s="16"/>
      <c r="M25" s="27"/>
      <c r="N25" s="46"/>
      <c r="O25" s="35"/>
      <c r="P25" s="39" t="s">
        <v>43</v>
      </c>
      <c r="Q25" s="40" t="s">
        <v>121</v>
      </c>
      <c r="R25" s="40" t="s">
        <v>32</v>
      </c>
      <c r="S25" s="40">
        <v>0</v>
      </c>
      <c r="T25" s="40"/>
      <c r="U25" s="40">
        <v>5</v>
      </c>
      <c r="V25" s="40">
        <v>12</v>
      </c>
      <c r="W25" s="40">
        <v>4</v>
      </c>
      <c r="X25" s="40">
        <v>10</v>
      </c>
      <c r="Y25" s="41">
        <v>160</v>
      </c>
      <c r="Z25" s="45"/>
    </row>
    <row r="26" spans="3:26" ht="16">
      <c r="C26" s="15">
        <v>1</v>
      </c>
      <c r="D26" s="15">
        <v>2</v>
      </c>
      <c r="E26" s="15" t="s">
        <v>63</v>
      </c>
      <c r="F26" s="15" t="s">
        <v>19</v>
      </c>
      <c r="G26" s="15">
        <f t="shared" si="0"/>
        <v>4</v>
      </c>
      <c r="H26" s="15">
        <f>COUNTIF(P22:P65,I26)</f>
        <v>0</v>
      </c>
      <c r="I26" s="15" t="s">
        <v>111</v>
      </c>
      <c r="K26" s="16"/>
      <c r="L26" s="16"/>
      <c r="M26" s="27"/>
      <c r="N26" s="46" t="s">
        <v>59</v>
      </c>
      <c r="O26" s="35"/>
      <c r="P26" s="29" t="s">
        <v>43</v>
      </c>
      <c r="Q26" s="30" t="s">
        <v>121</v>
      </c>
      <c r="R26" s="30" t="s">
        <v>32</v>
      </c>
      <c r="S26" s="30">
        <v>0</v>
      </c>
      <c r="T26" s="30"/>
      <c r="U26" s="30">
        <v>5</v>
      </c>
      <c r="V26" s="30">
        <v>12</v>
      </c>
      <c r="W26" s="30">
        <v>4</v>
      </c>
      <c r="X26" s="30">
        <v>10</v>
      </c>
      <c r="Y26" s="31">
        <v>160</v>
      </c>
      <c r="Z26" s="45"/>
    </row>
    <row r="27" spans="3:26" ht="16">
      <c r="C27" s="15">
        <v>1</v>
      </c>
      <c r="D27" s="15">
        <v>6</v>
      </c>
      <c r="E27" s="15" t="s">
        <v>26</v>
      </c>
      <c r="F27" s="15" t="s">
        <v>27</v>
      </c>
      <c r="G27" s="15">
        <f t="shared" si="0"/>
        <v>2</v>
      </c>
      <c r="H27" s="15">
        <f>COUNTIF(P22:P65,I27)</f>
        <v>0</v>
      </c>
      <c r="I27" s="15" t="s">
        <v>112</v>
      </c>
      <c r="K27" s="16"/>
      <c r="L27" s="16"/>
      <c r="M27" s="27"/>
      <c r="N27" s="46"/>
      <c r="O27" s="35"/>
      <c r="P27" s="39" t="s">
        <v>43</v>
      </c>
      <c r="Q27" s="40" t="s">
        <v>121</v>
      </c>
      <c r="R27" s="40" t="s">
        <v>32</v>
      </c>
      <c r="S27" s="40">
        <v>0</v>
      </c>
      <c r="T27" s="40"/>
      <c r="U27" s="40">
        <v>5</v>
      </c>
      <c r="V27" s="40">
        <v>12</v>
      </c>
      <c r="W27" s="40">
        <v>4</v>
      </c>
      <c r="X27" s="40">
        <v>10</v>
      </c>
      <c r="Y27" s="41">
        <v>160</v>
      </c>
      <c r="Z27" s="45"/>
    </row>
    <row r="28" spans="3:26" ht="16">
      <c r="C28" s="15">
        <v>1</v>
      </c>
      <c r="D28" s="15">
        <v>6</v>
      </c>
      <c r="E28" s="15" t="s">
        <v>26</v>
      </c>
      <c r="F28" s="15" t="s">
        <v>27</v>
      </c>
      <c r="G28" s="15">
        <f t="shared" si="0"/>
        <v>2</v>
      </c>
      <c r="H28" s="15">
        <f>COUNTIF(P22:P65,I28)</f>
        <v>0</v>
      </c>
      <c r="I28" s="15" t="s">
        <v>113</v>
      </c>
      <c r="K28" s="16"/>
      <c r="L28" s="16"/>
      <c r="M28" s="27"/>
      <c r="N28" s="46" t="s">
        <v>67</v>
      </c>
      <c r="O28" s="35"/>
      <c r="P28" s="29" t="s">
        <v>20</v>
      </c>
      <c r="Q28" s="30" t="s">
        <v>222</v>
      </c>
      <c r="R28" s="30" t="s">
        <v>22</v>
      </c>
      <c r="S28" s="30">
        <v>0</v>
      </c>
      <c r="T28" s="30"/>
      <c r="U28" s="30">
        <v>1</v>
      </c>
      <c r="V28" s="30">
        <v>11</v>
      </c>
      <c r="W28" s="30">
        <v>1</v>
      </c>
      <c r="X28" s="30">
        <v>10</v>
      </c>
      <c r="Y28" s="31">
        <v>10</v>
      </c>
      <c r="Z28" s="45"/>
    </row>
    <row r="29" spans="3:26" ht="16">
      <c r="C29" s="15">
        <v>1</v>
      </c>
      <c r="D29" s="15">
        <v>2</v>
      </c>
      <c r="E29" s="15" t="s">
        <v>63</v>
      </c>
      <c r="F29" s="15" t="s">
        <v>19</v>
      </c>
      <c r="G29" s="15">
        <f t="shared" si="0"/>
        <v>4</v>
      </c>
      <c r="H29" s="15">
        <f>COUNTIF(P22:P65,I29)</f>
        <v>0</v>
      </c>
      <c r="I29" s="15" t="s">
        <v>114</v>
      </c>
      <c r="K29" s="16"/>
      <c r="L29" s="16"/>
      <c r="M29" s="27"/>
      <c r="N29" s="46"/>
      <c r="O29" s="35"/>
      <c r="P29" s="39" t="s">
        <v>20</v>
      </c>
      <c r="Q29" s="40" t="s">
        <v>21</v>
      </c>
      <c r="R29" s="40" t="s">
        <v>22</v>
      </c>
      <c r="S29" s="40" t="s">
        <v>31</v>
      </c>
      <c r="T29" s="40"/>
      <c r="U29" s="40">
        <v>1</v>
      </c>
      <c r="V29" s="40">
        <v>1</v>
      </c>
      <c r="W29" s="40">
        <v>1</v>
      </c>
      <c r="X29" s="40">
        <v>2</v>
      </c>
      <c r="Y29" s="41">
        <v>2</v>
      </c>
      <c r="Z29" s="45"/>
    </row>
    <row r="30" spans="3:26" ht="16">
      <c r="C30" s="15">
        <v>1</v>
      </c>
      <c r="D30" s="15">
        <v>6</v>
      </c>
      <c r="E30" s="15" t="s">
        <v>26</v>
      </c>
      <c r="F30" s="15" t="s">
        <v>27</v>
      </c>
      <c r="G30" s="15">
        <f t="shared" si="0"/>
        <v>2</v>
      </c>
      <c r="H30" s="15">
        <f>COUNTIF(P22:P65,I30)</f>
        <v>0</v>
      </c>
      <c r="I30" s="15" t="s">
        <v>115</v>
      </c>
      <c r="K30" s="16"/>
      <c r="L30" s="16"/>
      <c r="M30" s="27"/>
      <c r="N30" s="46" t="s">
        <v>83</v>
      </c>
      <c r="O30" s="35"/>
      <c r="P30" s="29" t="s">
        <v>20</v>
      </c>
      <c r="Q30" s="30" t="s">
        <v>21</v>
      </c>
      <c r="R30" s="30" t="s">
        <v>22</v>
      </c>
      <c r="S30" s="30" t="s">
        <v>31</v>
      </c>
      <c r="T30" s="30"/>
      <c r="U30" s="30">
        <v>1</v>
      </c>
      <c r="V30" s="30">
        <v>1</v>
      </c>
      <c r="W30" s="30">
        <v>1</v>
      </c>
      <c r="X30" s="30">
        <v>2</v>
      </c>
      <c r="Y30" s="31">
        <v>2</v>
      </c>
      <c r="Z30" s="45"/>
    </row>
    <row r="31" spans="3:26" ht="16">
      <c r="C31" s="15">
        <v>1</v>
      </c>
      <c r="D31" s="15">
        <v>3</v>
      </c>
      <c r="E31" s="15" t="s">
        <v>116</v>
      </c>
      <c r="F31" s="15" t="s">
        <v>19</v>
      </c>
      <c r="G31" s="15">
        <f t="shared" si="0"/>
        <v>4</v>
      </c>
      <c r="H31" s="15">
        <f>COUNTIF(P22:P65,I31)</f>
        <v>0</v>
      </c>
      <c r="I31" s="15" t="s">
        <v>117</v>
      </c>
      <c r="K31" s="16"/>
      <c r="L31" s="16"/>
      <c r="M31" s="27"/>
      <c r="N31" s="34"/>
      <c r="O31" s="35"/>
      <c r="P31" s="39" t="s">
        <v>20</v>
      </c>
      <c r="Q31" s="40" t="s">
        <v>21</v>
      </c>
      <c r="R31" s="40" t="s">
        <v>22</v>
      </c>
      <c r="S31" s="40" t="s">
        <v>58</v>
      </c>
      <c r="T31" s="40"/>
      <c r="U31" s="40">
        <v>1</v>
      </c>
      <c r="V31" s="40">
        <v>1</v>
      </c>
      <c r="W31" s="40">
        <v>1</v>
      </c>
      <c r="X31" s="40">
        <v>1</v>
      </c>
      <c r="Y31" s="41">
        <v>1</v>
      </c>
      <c r="Z31" s="45"/>
    </row>
    <row r="32" spans="3:26" ht="16">
      <c r="C32" s="15">
        <v>1</v>
      </c>
      <c r="D32" s="15">
        <v>1</v>
      </c>
      <c r="E32" s="15" t="s">
        <v>42</v>
      </c>
      <c r="F32" s="15" t="s">
        <v>19</v>
      </c>
      <c r="G32" s="15">
        <f t="shared" si="0"/>
        <v>4</v>
      </c>
      <c r="H32" s="15">
        <f>COUNTIF(P22:P65,I32)</f>
        <v>0</v>
      </c>
      <c r="I32" s="15" t="s">
        <v>118</v>
      </c>
      <c r="K32" s="16"/>
      <c r="L32" s="16"/>
      <c r="M32" s="27"/>
      <c r="N32" s="34"/>
      <c r="O32" s="35"/>
      <c r="P32" s="29" t="s">
        <v>28</v>
      </c>
      <c r="Q32" s="30" t="s">
        <v>21</v>
      </c>
      <c r="R32" s="30" t="s">
        <v>22</v>
      </c>
      <c r="S32" s="30" t="s">
        <v>66</v>
      </c>
      <c r="T32" s="30"/>
      <c r="U32" s="30">
        <v>2</v>
      </c>
      <c r="V32" s="30">
        <v>1</v>
      </c>
      <c r="W32" s="30">
        <v>1</v>
      </c>
      <c r="X32" s="30">
        <v>2</v>
      </c>
      <c r="Y32" s="31">
        <v>2</v>
      </c>
      <c r="Z32" s="45"/>
    </row>
    <row r="33" spans="1:26" ht="16">
      <c r="C33" s="15">
        <v>1</v>
      </c>
      <c r="D33" s="15">
        <v>3</v>
      </c>
      <c r="E33" s="15" t="s">
        <v>116</v>
      </c>
      <c r="F33" s="15" t="s">
        <v>19</v>
      </c>
      <c r="G33" s="15">
        <f t="shared" si="0"/>
        <v>4</v>
      </c>
      <c r="H33" s="15">
        <f>COUNTIF(P22:P65,I33)</f>
        <v>0</v>
      </c>
      <c r="I33" s="15" t="s">
        <v>119</v>
      </c>
      <c r="K33" s="16"/>
      <c r="L33" s="16"/>
      <c r="M33" s="27"/>
      <c r="N33" s="34"/>
      <c r="O33" s="35"/>
      <c r="P33" s="39" t="s">
        <v>28</v>
      </c>
      <c r="Q33" s="40" t="s">
        <v>21</v>
      </c>
      <c r="R33" s="40" t="s">
        <v>22</v>
      </c>
      <c r="S33" s="40" t="s">
        <v>66</v>
      </c>
      <c r="T33" s="40"/>
      <c r="U33" s="40">
        <v>2</v>
      </c>
      <c r="V33" s="40">
        <v>1</v>
      </c>
      <c r="W33" s="40">
        <v>1</v>
      </c>
      <c r="X33" s="40">
        <v>2</v>
      </c>
      <c r="Y33" s="41">
        <v>2</v>
      </c>
      <c r="Z33" s="45"/>
    </row>
    <row r="34" spans="1:26" ht="16">
      <c r="G34" s="16"/>
      <c r="H34" s="16"/>
      <c r="M34" s="28"/>
      <c r="N34" s="35"/>
      <c r="O34" s="35"/>
      <c r="P34" s="29" t="s">
        <v>38</v>
      </c>
      <c r="Q34" s="30" t="s">
        <v>21</v>
      </c>
      <c r="R34" s="30" t="s">
        <v>22</v>
      </c>
      <c r="S34" s="30" t="s">
        <v>66</v>
      </c>
      <c r="T34" s="30"/>
      <c r="U34" s="30">
        <v>4</v>
      </c>
      <c r="V34" s="30">
        <v>1</v>
      </c>
      <c r="W34" s="30">
        <v>1</v>
      </c>
      <c r="X34" s="30">
        <v>2</v>
      </c>
      <c r="Y34" s="31">
        <v>2</v>
      </c>
      <c r="Z34" s="45"/>
    </row>
    <row r="35" spans="1:26" ht="16">
      <c r="G35" s="16"/>
      <c r="H35" s="16"/>
      <c r="M35" s="28"/>
      <c r="N35" s="35"/>
      <c r="O35" s="35"/>
      <c r="P35" s="39" t="s">
        <v>38</v>
      </c>
      <c r="Q35" s="40" t="s">
        <v>21</v>
      </c>
      <c r="R35" s="40" t="s">
        <v>22</v>
      </c>
      <c r="S35" s="40" t="s">
        <v>66</v>
      </c>
      <c r="T35" s="40"/>
      <c r="U35" s="40">
        <v>4</v>
      </c>
      <c r="V35" s="40">
        <v>1</v>
      </c>
      <c r="W35" s="40">
        <v>1</v>
      </c>
      <c r="X35" s="40">
        <v>2</v>
      </c>
      <c r="Y35" s="41">
        <v>2</v>
      </c>
      <c r="Z35" s="45"/>
    </row>
    <row r="36" spans="1:26" ht="16">
      <c r="G36" s="16"/>
      <c r="H36" s="16"/>
      <c r="M36" s="28"/>
      <c r="N36" s="35"/>
      <c r="O36" s="35"/>
      <c r="P36" s="29"/>
      <c r="Q36" s="30"/>
      <c r="R36" s="30"/>
      <c r="S36" s="30"/>
      <c r="T36" s="30"/>
      <c r="U36" s="30"/>
      <c r="V36" s="30"/>
      <c r="W36" s="30"/>
      <c r="X36" s="30"/>
      <c r="Y36" s="31"/>
      <c r="Z36" s="45"/>
    </row>
    <row r="37" spans="1:26" ht="16">
      <c r="G37" s="16"/>
      <c r="H37" s="16"/>
      <c r="M37" s="28"/>
      <c r="N37" s="35"/>
      <c r="O37" s="35"/>
      <c r="P37" s="39"/>
      <c r="Q37" s="40"/>
      <c r="R37" s="40"/>
      <c r="S37" s="40"/>
      <c r="T37" s="40"/>
      <c r="U37" s="40"/>
      <c r="V37" s="40"/>
      <c r="W37" s="40"/>
      <c r="X37" s="40"/>
      <c r="Y37" s="41"/>
      <c r="Z37" s="45"/>
    </row>
    <row r="38" spans="1:26" ht="16">
      <c r="G38" s="16"/>
      <c r="H38" s="16"/>
      <c r="M38" s="28"/>
      <c r="N38" s="35"/>
      <c r="O38" s="35"/>
      <c r="P38" s="29"/>
      <c r="Q38" s="30"/>
      <c r="R38" s="30"/>
      <c r="S38" s="30"/>
      <c r="T38" s="30"/>
      <c r="U38" s="30"/>
      <c r="V38" s="30"/>
      <c r="W38" s="30"/>
      <c r="X38" s="30"/>
      <c r="Y38" s="31"/>
      <c r="Z38" s="45"/>
    </row>
    <row r="39" spans="1:26" ht="16">
      <c r="G39" s="16"/>
      <c r="H39" s="16"/>
      <c r="M39" s="28"/>
      <c r="N39" s="35"/>
      <c r="O39" s="35"/>
      <c r="P39" s="39"/>
      <c r="Q39" s="40"/>
      <c r="R39" s="40"/>
      <c r="S39" s="40"/>
      <c r="T39" s="40"/>
      <c r="U39" s="40"/>
      <c r="V39" s="40"/>
      <c r="W39" s="40"/>
      <c r="X39" s="40"/>
      <c r="Y39" s="41"/>
      <c r="Z39" s="45"/>
    </row>
    <row r="40" spans="1:26" ht="16">
      <c r="G40" s="16"/>
      <c r="H40" s="16"/>
      <c r="M40" s="28"/>
      <c r="N40" s="28"/>
      <c r="O40" s="28"/>
      <c r="P40" s="29"/>
      <c r="Q40" s="30"/>
      <c r="R40" s="30"/>
      <c r="S40" s="30"/>
      <c r="T40" s="30"/>
      <c r="U40" s="30"/>
      <c r="V40" s="30"/>
      <c r="W40" s="30"/>
      <c r="X40" s="30"/>
      <c r="Y40" s="31"/>
      <c r="Z40" s="45"/>
    </row>
    <row r="41" spans="1:26" ht="16">
      <c r="G41" s="16"/>
      <c r="H41" s="16"/>
      <c r="M41" s="28"/>
      <c r="N41" s="28"/>
      <c r="O41" s="28"/>
      <c r="P41" s="39"/>
      <c r="Q41" s="40"/>
      <c r="R41" s="40"/>
      <c r="S41" s="40"/>
      <c r="T41" s="40"/>
      <c r="U41" s="40"/>
      <c r="V41" s="40"/>
      <c r="W41" s="40"/>
      <c r="X41" s="40"/>
      <c r="Y41" s="41"/>
      <c r="Z41" s="45"/>
    </row>
    <row r="42" spans="1:26" ht="16">
      <c r="A42" s="28"/>
      <c r="B42" s="28"/>
      <c r="C42" s="60"/>
      <c r="D42" s="60"/>
      <c r="E42" s="60"/>
      <c r="F42" s="60"/>
      <c r="G42" s="61"/>
      <c r="H42" s="61"/>
      <c r="I42" s="60"/>
      <c r="J42" s="60"/>
      <c r="K42" s="60"/>
      <c r="L42" s="60"/>
      <c r="M42" s="28"/>
      <c r="N42" s="28"/>
      <c r="O42" s="28"/>
      <c r="P42" s="29"/>
      <c r="Q42" s="30"/>
      <c r="R42" s="30"/>
      <c r="S42" s="30"/>
      <c r="T42" s="30"/>
      <c r="U42" s="30"/>
      <c r="V42" s="30"/>
      <c r="W42" s="30"/>
      <c r="X42" s="30"/>
      <c r="Y42" s="31"/>
      <c r="Z42" s="45"/>
    </row>
    <row r="43" spans="1:26" ht="16">
      <c r="A43" s="28"/>
      <c r="B43" s="28"/>
      <c r="C43" s="60"/>
      <c r="D43" s="60"/>
      <c r="E43" s="60"/>
      <c r="F43" s="60"/>
      <c r="G43" s="61"/>
      <c r="H43" s="61"/>
      <c r="I43" s="60"/>
      <c r="J43" s="60"/>
      <c r="K43" s="60"/>
      <c r="L43" s="60"/>
      <c r="M43" s="28"/>
      <c r="N43" s="28"/>
      <c r="O43" s="28"/>
      <c r="P43" s="39"/>
      <c r="Q43" s="40"/>
      <c r="R43" s="40"/>
      <c r="S43" s="40"/>
      <c r="T43" s="40"/>
      <c r="U43" s="40"/>
      <c r="V43" s="40"/>
      <c r="W43" s="40"/>
      <c r="X43" s="40"/>
      <c r="Y43" s="41"/>
      <c r="Z43" s="45"/>
    </row>
    <row r="44" spans="1:26" ht="16">
      <c r="A44" s="28"/>
      <c r="B44" s="28"/>
      <c r="C44" s="60"/>
      <c r="D44" s="60"/>
      <c r="E44" s="60"/>
      <c r="F44" s="60"/>
      <c r="G44" s="61"/>
      <c r="H44" s="61"/>
      <c r="I44" s="60"/>
      <c r="J44" s="60"/>
      <c r="K44" s="60"/>
      <c r="L44" s="60"/>
      <c r="M44" s="28"/>
      <c r="N44" s="28"/>
      <c r="O44" s="28"/>
      <c r="P44" s="29"/>
      <c r="Q44" s="30"/>
      <c r="R44" s="30"/>
      <c r="S44" s="30"/>
      <c r="T44" s="30"/>
      <c r="U44" s="30"/>
      <c r="V44" s="30"/>
      <c r="W44" s="30"/>
      <c r="X44" s="30"/>
      <c r="Y44" s="31"/>
      <c r="Z44" s="45"/>
    </row>
    <row r="45" spans="1:26" ht="16">
      <c r="A45" s="28"/>
      <c r="B45" s="28"/>
      <c r="C45" s="60"/>
      <c r="D45" s="60"/>
      <c r="E45" s="60"/>
      <c r="F45" s="60"/>
      <c r="G45" s="61"/>
      <c r="H45" s="61"/>
      <c r="I45" s="60"/>
      <c r="J45" s="60"/>
      <c r="K45" s="60"/>
      <c r="L45" s="60"/>
      <c r="M45" s="28"/>
      <c r="N45" s="28"/>
      <c r="O45" s="28"/>
      <c r="P45" s="39"/>
      <c r="Q45" s="40"/>
      <c r="R45" s="40"/>
      <c r="S45" s="40"/>
      <c r="T45" s="40"/>
      <c r="U45" s="40"/>
      <c r="V45" s="40"/>
      <c r="W45" s="40"/>
      <c r="X45" s="40"/>
      <c r="Y45" s="41"/>
      <c r="Z45" s="45"/>
    </row>
    <row r="46" spans="1:26" ht="16">
      <c r="A46" s="28"/>
      <c r="B46" s="28"/>
      <c r="C46" s="60"/>
      <c r="D46" s="60"/>
      <c r="E46" s="60"/>
      <c r="F46" s="60"/>
      <c r="G46" s="61"/>
      <c r="H46" s="61"/>
      <c r="I46" s="60"/>
      <c r="J46" s="60"/>
      <c r="K46" s="60"/>
      <c r="L46" s="60"/>
      <c r="M46" s="28"/>
      <c r="N46" s="28"/>
      <c r="O46" s="28"/>
      <c r="P46" s="29"/>
      <c r="Q46" s="30"/>
      <c r="R46" s="30"/>
      <c r="S46" s="30"/>
      <c r="T46" s="30"/>
      <c r="U46" s="30"/>
      <c r="V46" s="30"/>
      <c r="W46" s="30"/>
      <c r="X46" s="30"/>
      <c r="Y46" s="31"/>
      <c r="Z46" s="45"/>
    </row>
    <row r="47" spans="1:26" ht="16">
      <c r="A47" s="28"/>
      <c r="B47" s="28"/>
      <c r="C47" s="60"/>
      <c r="D47" s="60"/>
      <c r="E47" s="60"/>
      <c r="F47" s="60"/>
      <c r="G47" s="61"/>
      <c r="H47" s="61"/>
      <c r="I47" s="60"/>
      <c r="J47" s="60"/>
      <c r="K47" s="60"/>
      <c r="L47" s="60"/>
      <c r="M47" s="28"/>
      <c r="N47" s="28"/>
      <c r="O47" s="28"/>
      <c r="P47" s="39"/>
      <c r="Q47" s="40"/>
      <c r="R47" s="40"/>
      <c r="S47" s="40"/>
      <c r="T47" s="40"/>
      <c r="U47" s="40"/>
      <c r="V47" s="40"/>
      <c r="W47" s="40"/>
      <c r="X47" s="40"/>
      <c r="Y47" s="41"/>
      <c r="Z47" s="45"/>
    </row>
    <row r="48" spans="1:26" ht="16">
      <c r="A48" s="28"/>
      <c r="B48" s="28"/>
      <c r="C48" s="60"/>
      <c r="D48" s="60"/>
      <c r="E48" s="60"/>
      <c r="F48" s="60"/>
      <c r="G48" s="61"/>
      <c r="H48" s="61"/>
      <c r="I48" s="60"/>
      <c r="J48" s="60"/>
      <c r="K48" s="60"/>
      <c r="L48" s="60"/>
      <c r="M48" s="28"/>
      <c r="N48" s="28"/>
      <c r="O48" s="28"/>
      <c r="P48" s="29"/>
      <c r="Q48" s="30"/>
      <c r="R48" s="30"/>
      <c r="S48" s="30"/>
      <c r="T48" s="30"/>
      <c r="U48" s="30"/>
      <c r="V48" s="30"/>
      <c r="W48" s="30"/>
      <c r="X48" s="30"/>
      <c r="Y48" s="31"/>
      <c r="Z48" s="45"/>
    </row>
    <row r="49" spans="1:26" ht="16">
      <c r="A49" s="28"/>
      <c r="B49" s="28"/>
      <c r="C49" s="60"/>
      <c r="D49" s="60"/>
      <c r="E49" s="60"/>
      <c r="F49" s="60"/>
      <c r="G49" s="61"/>
      <c r="H49" s="61"/>
      <c r="I49" s="60"/>
      <c r="J49" s="60"/>
      <c r="K49" s="60"/>
      <c r="L49" s="60"/>
      <c r="M49" s="28"/>
      <c r="N49" s="28"/>
      <c r="O49" s="28"/>
      <c r="P49" s="39"/>
      <c r="Q49" s="40"/>
      <c r="R49" s="40"/>
      <c r="S49" s="40"/>
      <c r="T49" s="40"/>
      <c r="U49" s="40"/>
      <c r="V49" s="40"/>
      <c r="W49" s="40"/>
      <c r="X49" s="40"/>
      <c r="Y49" s="41"/>
      <c r="Z49" s="45"/>
    </row>
    <row r="50" spans="1:26" ht="16">
      <c r="A50" s="28"/>
      <c r="B50" s="28"/>
      <c r="C50" s="60"/>
      <c r="D50" s="60"/>
      <c r="E50" s="60"/>
      <c r="F50" s="60"/>
      <c r="G50" s="61"/>
      <c r="H50" s="61"/>
      <c r="I50" s="60"/>
      <c r="J50" s="60"/>
      <c r="K50" s="60"/>
      <c r="L50" s="60"/>
      <c r="M50" s="28"/>
      <c r="N50" s="28"/>
      <c r="O50" s="28"/>
      <c r="P50" s="29"/>
      <c r="Q50" s="30"/>
      <c r="R50" s="30"/>
      <c r="S50" s="30"/>
      <c r="T50" s="30"/>
      <c r="U50" s="30"/>
      <c r="V50" s="30"/>
      <c r="W50" s="30"/>
      <c r="X50" s="30"/>
      <c r="Y50" s="31"/>
      <c r="Z50" s="45"/>
    </row>
    <row r="51" spans="1:26" ht="16">
      <c r="A51" s="28"/>
      <c r="B51" s="28"/>
      <c r="C51" s="60"/>
      <c r="D51" s="60"/>
      <c r="E51" s="60"/>
      <c r="F51" s="60"/>
      <c r="G51" s="61"/>
      <c r="H51" s="61"/>
      <c r="I51" s="60"/>
      <c r="J51" s="60"/>
      <c r="K51" s="60"/>
      <c r="L51" s="60"/>
      <c r="M51" s="28"/>
      <c r="N51" s="28"/>
      <c r="O51" s="28"/>
      <c r="P51" s="39"/>
      <c r="Q51" s="40"/>
      <c r="R51" s="40"/>
      <c r="S51" s="40"/>
      <c r="T51" s="40"/>
      <c r="U51" s="40"/>
      <c r="V51" s="40"/>
      <c r="W51" s="40"/>
      <c r="X51" s="40"/>
      <c r="Y51" s="41"/>
      <c r="Z51" s="45"/>
    </row>
    <row r="52" spans="1:26" ht="16">
      <c r="A52" s="28"/>
      <c r="B52" s="28"/>
      <c r="C52" s="60"/>
      <c r="D52" s="60"/>
      <c r="E52" s="60"/>
      <c r="F52" s="60"/>
      <c r="G52" s="61"/>
      <c r="H52" s="61"/>
      <c r="I52" s="60"/>
      <c r="J52" s="60"/>
      <c r="K52" s="60"/>
      <c r="L52" s="60"/>
      <c r="M52" s="28"/>
      <c r="N52" s="28"/>
      <c r="O52" s="28"/>
      <c r="P52" s="29"/>
      <c r="Q52" s="30"/>
      <c r="R52" s="30"/>
      <c r="S52" s="30"/>
      <c r="T52" s="30"/>
      <c r="U52" s="30"/>
      <c r="V52" s="30"/>
      <c r="W52" s="30"/>
      <c r="X52" s="30"/>
      <c r="Y52" s="31"/>
      <c r="Z52" s="45"/>
    </row>
    <row r="53" spans="1:26" ht="16">
      <c r="A53" s="28"/>
      <c r="B53" s="28"/>
      <c r="C53" s="60"/>
      <c r="D53" s="60"/>
      <c r="E53" s="60"/>
      <c r="F53" s="60"/>
      <c r="G53" s="61"/>
      <c r="H53" s="61"/>
      <c r="I53" s="60"/>
      <c r="J53" s="60"/>
      <c r="K53" s="60"/>
      <c r="L53" s="60"/>
      <c r="M53" s="28"/>
      <c r="N53" s="28"/>
      <c r="O53" s="28"/>
      <c r="P53" s="39"/>
      <c r="Q53" s="40"/>
      <c r="R53" s="40"/>
      <c r="S53" s="40"/>
      <c r="T53" s="40"/>
      <c r="U53" s="40"/>
      <c r="V53" s="40"/>
      <c r="W53" s="40"/>
      <c r="X53" s="40"/>
      <c r="Y53" s="41"/>
      <c r="Z53" s="45"/>
    </row>
    <row r="54" spans="1:26" ht="16">
      <c r="A54" s="28"/>
      <c r="B54" s="28"/>
      <c r="C54" s="60"/>
      <c r="D54" s="60"/>
      <c r="E54" s="60"/>
      <c r="F54" s="60"/>
      <c r="G54" s="61"/>
      <c r="H54" s="61"/>
      <c r="I54" s="60"/>
      <c r="J54" s="60"/>
      <c r="K54" s="60"/>
      <c r="L54" s="60"/>
      <c r="M54" s="28"/>
      <c r="N54" s="28"/>
      <c r="O54" s="28"/>
      <c r="P54" s="29"/>
      <c r="Q54" s="30"/>
      <c r="R54" s="30"/>
      <c r="S54" s="30"/>
      <c r="T54" s="30"/>
      <c r="U54" s="30"/>
      <c r="V54" s="30"/>
      <c r="W54" s="30"/>
      <c r="X54" s="30"/>
      <c r="Y54" s="31"/>
      <c r="Z54" s="45"/>
    </row>
    <row r="55" spans="1:26">
      <c r="A55" s="28"/>
      <c r="B55" s="28"/>
      <c r="C55" s="60"/>
      <c r="D55" s="60"/>
      <c r="E55" s="60"/>
      <c r="F55" s="60"/>
      <c r="G55" s="60"/>
      <c r="H55" s="60"/>
      <c r="I55" s="60"/>
      <c r="J55" s="60"/>
      <c r="K55" s="60"/>
      <c r="L55" s="60"/>
      <c r="M55" s="28"/>
      <c r="N55" s="28"/>
      <c r="O55" s="28"/>
      <c r="P55" s="39"/>
      <c r="Q55" s="40"/>
      <c r="R55" s="40"/>
      <c r="S55" s="40"/>
      <c r="T55" s="40"/>
      <c r="U55" s="40"/>
      <c r="V55" s="40"/>
      <c r="W55" s="40"/>
      <c r="X55" s="40"/>
      <c r="Y55" s="41"/>
      <c r="Z55" s="45"/>
    </row>
    <row r="56" spans="1:26">
      <c r="A56" s="28"/>
      <c r="B56" s="28"/>
      <c r="C56" s="60"/>
      <c r="D56" s="60"/>
      <c r="E56" s="60"/>
      <c r="F56" s="60"/>
      <c r="G56" s="60"/>
      <c r="H56" s="60"/>
      <c r="I56" s="60"/>
      <c r="J56" s="60"/>
      <c r="K56" s="60"/>
      <c r="L56" s="60"/>
      <c r="M56" s="28"/>
      <c r="N56" s="28"/>
      <c r="O56" s="28"/>
      <c r="P56" s="29"/>
      <c r="Q56" s="30"/>
      <c r="R56" s="30"/>
      <c r="S56" s="30"/>
      <c r="T56" s="30"/>
      <c r="U56" s="30"/>
      <c r="V56" s="30"/>
      <c r="W56" s="30"/>
      <c r="X56" s="30"/>
      <c r="Y56" s="31"/>
      <c r="Z56" s="45"/>
    </row>
    <row r="57" spans="1:26">
      <c r="A57" s="28"/>
      <c r="B57" s="28"/>
      <c r="C57" s="60"/>
      <c r="D57" s="60"/>
      <c r="E57" s="60"/>
      <c r="F57" s="60"/>
      <c r="G57" s="60"/>
      <c r="H57" s="60"/>
      <c r="I57" s="60"/>
      <c r="J57" s="60"/>
      <c r="K57" s="60"/>
      <c r="L57" s="60"/>
      <c r="M57" s="28"/>
      <c r="N57" s="28"/>
      <c r="O57" s="28"/>
      <c r="P57" s="39"/>
      <c r="Q57" s="40"/>
      <c r="R57" s="40"/>
      <c r="S57" s="40"/>
      <c r="T57" s="40"/>
      <c r="U57" s="40"/>
      <c r="V57" s="40"/>
      <c r="W57" s="40"/>
      <c r="X57" s="40"/>
      <c r="Y57" s="41"/>
      <c r="Z57" s="45"/>
    </row>
    <row r="58" spans="1:26">
      <c r="A58" s="28"/>
      <c r="B58" s="28"/>
      <c r="C58" s="60"/>
      <c r="D58" s="60"/>
      <c r="E58" s="60"/>
      <c r="F58" s="60"/>
      <c r="G58" s="60"/>
      <c r="H58" s="60"/>
      <c r="I58" s="60"/>
      <c r="J58" s="60"/>
      <c r="K58" s="60"/>
      <c r="L58" s="60"/>
      <c r="M58" s="28"/>
      <c r="N58" s="28"/>
      <c r="O58" s="28"/>
      <c r="P58" s="29"/>
      <c r="Q58" s="30"/>
      <c r="R58" s="30"/>
      <c r="S58" s="30"/>
      <c r="T58" s="30"/>
      <c r="U58" s="30"/>
      <c r="V58" s="30"/>
      <c r="W58" s="30"/>
      <c r="X58" s="30"/>
      <c r="Y58" s="31"/>
      <c r="Z58" s="45"/>
    </row>
    <row r="59" spans="1:26">
      <c r="A59" s="28"/>
      <c r="B59" s="28"/>
      <c r="C59" s="60"/>
      <c r="D59" s="60"/>
      <c r="E59" s="60"/>
      <c r="F59" s="60"/>
      <c r="G59" s="60"/>
      <c r="H59" s="60"/>
      <c r="I59" s="60"/>
      <c r="J59" s="60"/>
      <c r="K59" s="60"/>
      <c r="L59" s="60"/>
      <c r="M59" s="28"/>
      <c r="N59" s="28"/>
      <c r="O59" s="28"/>
      <c r="P59" s="39"/>
      <c r="Q59" s="40"/>
      <c r="R59" s="40"/>
      <c r="S59" s="40"/>
      <c r="T59" s="40"/>
      <c r="U59" s="40"/>
      <c r="V59" s="40"/>
      <c r="W59" s="40"/>
      <c r="X59" s="40"/>
      <c r="Y59" s="41"/>
      <c r="Z59" s="45"/>
    </row>
    <row r="60" spans="1:26">
      <c r="A60" s="28"/>
      <c r="B60" s="28"/>
      <c r="C60" s="60"/>
      <c r="D60" s="60"/>
      <c r="E60" s="60"/>
      <c r="F60" s="60"/>
      <c r="G60" s="60"/>
      <c r="H60" s="60"/>
      <c r="I60" s="60"/>
      <c r="J60" s="60"/>
      <c r="K60" s="60"/>
      <c r="L60" s="60"/>
      <c r="M60" s="28"/>
      <c r="N60" s="28"/>
      <c r="O60" s="28"/>
      <c r="P60" s="29"/>
      <c r="Q60" s="30"/>
      <c r="R60" s="30"/>
      <c r="S60" s="30"/>
      <c r="T60" s="30"/>
      <c r="U60" s="30"/>
      <c r="V60" s="30"/>
      <c r="W60" s="30"/>
      <c r="X60" s="30"/>
      <c r="Y60" s="31"/>
      <c r="Z60" s="45"/>
    </row>
    <row r="61" spans="1:26">
      <c r="A61" s="28"/>
      <c r="B61" s="28"/>
      <c r="C61" s="60"/>
      <c r="D61" s="60"/>
      <c r="E61" s="60"/>
      <c r="F61" s="60"/>
      <c r="G61" s="60"/>
      <c r="H61" s="60"/>
      <c r="I61" s="60"/>
      <c r="J61" s="60"/>
      <c r="K61" s="60"/>
      <c r="L61" s="60"/>
      <c r="M61" s="28"/>
      <c r="N61" s="28"/>
      <c r="O61" s="28"/>
      <c r="P61" s="39"/>
      <c r="Q61" s="40"/>
      <c r="R61" s="40"/>
      <c r="S61" s="40"/>
      <c r="T61" s="40"/>
      <c r="U61" s="40"/>
      <c r="V61" s="40"/>
      <c r="W61" s="40"/>
      <c r="X61" s="40"/>
      <c r="Y61" s="41"/>
      <c r="Z61" s="45"/>
    </row>
    <row r="62" spans="1:26">
      <c r="A62" s="28"/>
      <c r="B62" s="28"/>
      <c r="C62" s="60"/>
      <c r="D62" s="60"/>
      <c r="E62" s="60"/>
      <c r="F62" s="60"/>
      <c r="G62" s="60"/>
      <c r="H62" s="60"/>
      <c r="I62" s="60"/>
      <c r="J62" s="60"/>
      <c r="K62" s="60"/>
      <c r="L62" s="60"/>
      <c r="M62" s="28"/>
      <c r="N62" s="28"/>
      <c r="O62" s="28"/>
      <c r="P62" s="29"/>
      <c r="Q62" s="30"/>
      <c r="R62" s="30"/>
      <c r="S62" s="30"/>
      <c r="T62" s="30"/>
      <c r="U62" s="30"/>
      <c r="V62" s="30"/>
      <c r="W62" s="30"/>
      <c r="X62" s="30"/>
      <c r="Y62" s="31"/>
      <c r="Z62" s="45"/>
    </row>
    <row r="63" spans="1:26">
      <c r="A63" s="28"/>
      <c r="B63" s="28"/>
      <c r="C63" s="60"/>
      <c r="D63" s="60"/>
      <c r="E63" s="60"/>
      <c r="F63" s="60"/>
      <c r="G63" s="60"/>
      <c r="H63" s="60"/>
      <c r="I63" s="60"/>
      <c r="J63" s="60"/>
      <c r="K63" s="60"/>
      <c r="L63" s="60"/>
      <c r="M63" s="28"/>
      <c r="N63" s="28"/>
      <c r="O63" s="28"/>
      <c r="P63" s="39"/>
      <c r="Q63" s="40"/>
      <c r="R63" s="40"/>
      <c r="S63" s="40"/>
      <c r="T63" s="40"/>
      <c r="U63" s="40"/>
      <c r="V63" s="40"/>
      <c r="W63" s="40"/>
      <c r="X63" s="40"/>
      <c r="Y63" s="41"/>
      <c r="Z63" s="45"/>
    </row>
    <row r="64" spans="1:26">
      <c r="A64" s="28"/>
      <c r="B64" s="28"/>
      <c r="C64" s="60"/>
      <c r="D64" s="60"/>
      <c r="E64" s="60"/>
      <c r="F64" s="60"/>
      <c r="G64" s="60"/>
      <c r="H64" s="60"/>
      <c r="I64" s="60"/>
      <c r="J64" s="60"/>
      <c r="K64" s="60"/>
      <c r="L64" s="60"/>
      <c r="M64" s="28"/>
      <c r="N64" s="28"/>
      <c r="O64" s="28"/>
      <c r="P64" s="29"/>
      <c r="Q64" s="30"/>
      <c r="R64" s="30"/>
      <c r="S64" s="30"/>
      <c r="T64" s="30"/>
      <c r="U64" s="30"/>
      <c r="V64" s="30"/>
      <c r="W64" s="30"/>
      <c r="X64" s="30"/>
      <c r="Y64" s="31"/>
      <c r="Z64" s="45"/>
    </row>
    <row r="65" spans="1:26" ht="16" thickBot="1">
      <c r="A65" s="28"/>
      <c r="B65" s="28"/>
      <c r="C65" s="60"/>
      <c r="D65" s="60"/>
      <c r="E65" s="60"/>
      <c r="F65" s="60"/>
      <c r="G65" s="60"/>
      <c r="H65" s="60"/>
      <c r="I65" s="60"/>
      <c r="J65" s="60"/>
      <c r="K65" s="60"/>
      <c r="L65" s="60"/>
      <c r="M65" s="28"/>
      <c r="N65" s="28"/>
      <c r="O65" s="28"/>
      <c r="P65" s="42"/>
      <c r="Q65" s="43"/>
      <c r="R65" s="43"/>
      <c r="S65" s="43"/>
      <c r="T65" s="43"/>
      <c r="U65" s="43"/>
      <c r="V65" s="43"/>
      <c r="W65" s="43"/>
      <c r="X65" s="43"/>
      <c r="Y65" s="44"/>
      <c r="Z65" s="45"/>
    </row>
    <row r="66" spans="1:26">
      <c r="M66" s="45"/>
      <c r="N66" s="45"/>
      <c r="O66" s="45"/>
      <c r="P66" s="45"/>
      <c r="Q66" s="45"/>
      <c r="R66" s="45"/>
      <c r="S66" s="45"/>
      <c r="T66" s="45"/>
      <c r="U66" s="45"/>
      <c r="V66" s="45"/>
      <c r="W66" s="45"/>
      <c r="X66" s="45"/>
      <c r="Y66" s="45"/>
      <c r="Z66" s="45"/>
    </row>
    <row r="67" spans="1:26">
      <c r="M67" s="45"/>
      <c r="N67" s="45"/>
      <c r="O67" s="45"/>
      <c r="P67" s="45"/>
      <c r="Q67" s="45"/>
      <c r="R67" s="45"/>
      <c r="S67" s="45"/>
      <c r="T67" s="45"/>
      <c r="U67" s="45"/>
      <c r="V67" s="45"/>
      <c r="W67" s="45"/>
      <c r="X67" s="45"/>
      <c r="Y67" s="45"/>
      <c r="Z67" s="45"/>
    </row>
    <row r="68" spans="1:26">
      <c r="M68" s="45"/>
      <c r="N68" s="45"/>
      <c r="O68" s="45"/>
      <c r="P68" s="45"/>
      <c r="Q68" s="45"/>
      <c r="R68" s="45"/>
      <c r="S68" s="45"/>
      <c r="T68" s="45"/>
      <c r="U68" s="45"/>
      <c r="V68" s="45"/>
      <c r="W68" s="45"/>
      <c r="X68" s="45"/>
      <c r="Y68" s="45"/>
      <c r="Z68" s="45"/>
    </row>
  </sheetData>
  <conditionalFormatting sqref="H6">
    <cfRule type="cellIs" dxfId="34" priority="37" operator="equal">
      <formula>$G$6</formula>
    </cfRule>
  </conditionalFormatting>
  <conditionalFormatting sqref="H2">
    <cfRule type="cellIs" dxfId="33" priority="35" operator="equal">
      <formula>$G$2</formula>
    </cfRule>
  </conditionalFormatting>
  <conditionalFormatting sqref="H3">
    <cfRule type="cellIs" dxfId="32" priority="33" operator="equal">
      <formula>$G$3</formula>
    </cfRule>
  </conditionalFormatting>
  <conditionalFormatting sqref="H4">
    <cfRule type="cellIs" dxfId="31" priority="32" operator="equal">
      <formula>$G$4</formula>
    </cfRule>
  </conditionalFormatting>
  <conditionalFormatting sqref="H5">
    <cfRule type="cellIs" dxfId="30" priority="31" operator="equal">
      <formula>$G$6</formula>
    </cfRule>
  </conditionalFormatting>
  <conditionalFormatting sqref="H7">
    <cfRule type="cellIs" dxfId="29" priority="1" operator="equal">
      <formula>$G$7</formula>
    </cfRule>
    <cfRule type="cellIs" dxfId="28" priority="30" operator="equal">
      <formula>$G$7</formula>
    </cfRule>
  </conditionalFormatting>
  <conditionalFormatting sqref="H8">
    <cfRule type="cellIs" dxfId="27" priority="2" operator="equal">
      <formula>$G$8</formula>
    </cfRule>
    <cfRule type="cellIs" dxfId="26" priority="29" operator="equal">
      <formula>$G$7</formula>
    </cfRule>
  </conditionalFormatting>
  <conditionalFormatting sqref="H9:H33">
    <cfRule type="cellIs" dxfId="25" priority="28" operator="equal">
      <formula>$G$7</formula>
    </cfRule>
  </conditionalFormatting>
  <conditionalFormatting sqref="H33">
    <cfRule type="cellIs" dxfId="24" priority="27" operator="equal">
      <formula>$G$33</formula>
    </cfRule>
  </conditionalFormatting>
  <conditionalFormatting sqref="H32">
    <cfRule type="cellIs" dxfId="23" priority="26" operator="equal">
      <formula>$G$32</formula>
    </cfRule>
  </conditionalFormatting>
  <conditionalFormatting sqref="H31">
    <cfRule type="cellIs" dxfId="22" priority="25" operator="equal">
      <formula>$G$31</formula>
    </cfRule>
  </conditionalFormatting>
  <conditionalFormatting sqref="H30">
    <cfRule type="cellIs" dxfId="21" priority="24" operator="equal">
      <formula>$G$30</formula>
    </cfRule>
  </conditionalFormatting>
  <conditionalFormatting sqref="H29">
    <cfRule type="cellIs" dxfId="20" priority="23" operator="equal">
      <formula>$G$29</formula>
    </cfRule>
  </conditionalFormatting>
  <conditionalFormatting sqref="H28">
    <cfRule type="cellIs" dxfId="19" priority="22" operator="equal">
      <formula>$G$28</formula>
    </cfRule>
  </conditionalFormatting>
  <conditionalFormatting sqref="H27">
    <cfRule type="cellIs" dxfId="18" priority="21" operator="equal">
      <formula>$G$27</formula>
    </cfRule>
  </conditionalFormatting>
  <conditionalFormatting sqref="H26">
    <cfRule type="cellIs" dxfId="17" priority="20" operator="equal">
      <formula>$G$26</formula>
    </cfRule>
  </conditionalFormatting>
  <conditionalFormatting sqref="H25">
    <cfRule type="cellIs" dxfId="16" priority="19" operator="equal">
      <formula>$G$25</formula>
    </cfRule>
  </conditionalFormatting>
  <conditionalFormatting sqref="H24">
    <cfRule type="cellIs" dxfId="15" priority="18" operator="equal">
      <formula>$G$24</formula>
    </cfRule>
  </conditionalFormatting>
  <conditionalFormatting sqref="H23">
    <cfRule type="cellIs" dxfId="14" priority="17" operator="equal">
      <formula>$G$23</formula>
    </cfRule>
  </conditionalFormatting>
  <conditionalFormatting sqref="H22">
    <cfRule type="cellIs" dxfId="13" priority="16" operator="equal">
      <formula>$G$22</formula>
    </cfRule>
  </conditionalFormatting>
  <conditionalFormatting sqref="H21">
    <cfRule type="cellIs" dxfId="12" priority="15" operator="equal">
      <formula>$G$21</formula>
    </cfRule>
  </conditionalFormatting>
  <conditionalFormatting sqref="H20">
    <cfRule type="cellIs" dxfId="11" priority="14" operator="equal">
      <formula>$G$20</formula>
    </cfRule>
  </conditionalFormatting>
  <conditionalFormatting sqref="H19">
    <cfRule type="cellIs" dxfId="10" priority="13" operator="equal">
      <formula>$G$19</formula>
    </cfRule>
  </conditionalFormatting>
  <conditionalFormatting sqref="H18">
    <cfRule type="cellIs" dxfId="9" priority="12" operator="equal">
      <formula>$G$18</formula>
    </cfRule>
  </conditionalFormatting>
  <conditionalFormatting sqref="H17">
    <cfRule type="cellIs" dxfId="8" priority="11" operator="equal">
      <formula>$G$17</formula>
    </cfRule>
  </conditionalFormatting>
  <conditionalFormatting sqref="H16">
    <cfRule type="cellIs" dxfId="7" priority="10" operator="equal">
      <formula>$G$16</formula>
    </cfRule>
  </conditionalFormatting>
  <conditionalFormatting sqref="H15">
    <cfRule type="cellIs" dxfId="6" priority="9" operator="equal">
      <formula>$G$15</formula>
    </cfRule>
  </conditionalFormatting>
  <conditionalFormatting sqref="H14">
    <cfRule type="cellIs" dxfId="5" priority="8" operator="equal">
      <formula>$G$14</formula>
    </cfRule>
  </conditionalFormatting>
  <conditionalFormatting sqref="H13">
    <cfRule type="cellIs" dxfId="4" priority="7" operator="equal">
      <formula>$G$13</formula>
    </cfRule>
  </conditionalFormatting>
  <conditionalFormatting sqref="H12">
    <cfRule type="cellIs" dxfId="3" priority="6" operator="equal">
      <formula>$G$12</formula>
    </cfRule>
  </conditionalFormatting>
  <conditionalFormatting sqref="H11">
    <cfRule type="cellIs" dxfId="2" priority="5" operator="equal">
      <formula>$G$11</formula>
    </cfRule>
  </conditionalFormatting>
  <conditionalFormatting sqref="H10">
    <cfRule type="cellIs" dxfId="1" priority="4" operator="equal">
      <formula>$G$10</formula>
    </cfRule>
  </conditionalFormatting>
  <conditionalFormatting sqref="H9">
    <cfRule type="cellIs" dxfId="0" priority="3" operator="equal">
      <formula>$G$9</formula>
    </cfRule>
  </conditionalFormatting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DropDown2">
              <controlPr defaultSize="0" autoLine="0" autoPict="0">
                <anchor moveWithCells="1">
                  <from>
                    <xdr:col>13</xdr:col>
                    <xdr:colOff>723900</xdr:colOff>
                    <xdr:row>23</xdr:row>
                    <xdr:rowOff>38100</xdr:rowOff>
                  </from>
                  <to>
                    <xdr:col>14</xdr:col>
                    <xdr:colOff>1866900</xdr:colOff>
                    <xdr:row>24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Drop Down 2">
              <controlPr defaultSize="0" autoLine="0" autoPict="0">
                <anchor moveWithCells="1">
                  <from>
                    <xdr:col>13</xdr:col>
                    <xdr:colOff>723900</xdr:colOff>
                    <xdr:row>25</xdr:row>
                    <xdr:rowOff>38100</xdr:rowOff>
                  </from>
                  <to>
                    <xdr:col>14</xdr:col>
                    <xdr:colOff>1854200</xdr:colOff>
                    <xdr:row>26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Drop Down 3">
              <controlPr defaultSize="0" autoLine="0" autoPict="0">
                <anchor moveWithCells="1">
                  <from>
                    <xdr:col>13</xdr:col>
                    <xdr:colOff>711200</xdr:colOff>
                    <xdr:row>27</xdr:row>
                    <xdr:rowOff>25400</xdr:rowOff>
                  </from>
                  <to>
                    <xdr:col>14</xdr:col>
                    <xdr:colOff>1854200</xdr:colOff>
                    <xdr:row>28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Drop Down 4">
              <controlPr defaultSize="0" autoLine="0" autoPict="0">
                <anchor moveWithCells="1">
                  <from>
                    <xdr:col>13</xdr:col>
                    <xdr:colOff>698500</xdr:colOff>
                    <xdr:row>29</xdr:row>
                    <xdr:rowOff>12700</xdr:rowOff>
                  </from>
                  <to>
                    <xdr:col>14</xdr:col>
                    <xdr:colOff>1854200</xdr:colOff>
                    <xdr:row>30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Scheduler">
              <controlPr defaultSize="0" autoFill="0" autoPict="0">
                <anchor moveWithCells="1">
                  <from>
                    <xdr:col>12</xdr:col>
                    <xdr:colOff>1625600</xdr:colOff>
                    <xdr:row>21</xdr:row>
                    <xdr:rowOff>139700</xdr:rowOff>
                  </from>
                  <to>
                    <xdr:col>14</xdr:col>
                    <xdr:colOff>2108200</xdr:colOff>
                    <xdr:row>38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Button 8">
              <controlPr defaultSize="0" print="0" autoFill="0" autoPict="0" macro="[2]!CopyDataButton_Click">
                <anchor moveWithCells="1" sizeWithCells="1">
                  <from>
                    <xdr:col>13</xdr:col>
                    <xdr:colOff>952500</xdr:colOff>
                    <xdr:row>31</xdr:row>
                    <xdr:rowOff>0</xdr:rowOff>
                  </from>
                  <to>
                    <xdr:col>14</xdr:col>
                    <xdr:colOff>1549400</xdr:colOff>
                    <xdr:row>34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54"/>
  <sheetViews>
    <sheetView workbookViewId="0">
      <selection activeCell="I7" sqref="I7"/>
    </sheetView>
  </sheetViews>
  <sheetFormatPr baseColWidth="10" defaultRowHeight="15"/>
  <cols>
    <col min="1" max="1" width="19" style="15" bestFit="1" customWidth="1"/>
    <col min="2" max="2" width="8.83203125" style="15"/>
    <col min="3" max="3" width="18.5" style="15" bestFit="1" customWidth="1"/>
    <col min="4" max="4" width="10.6640625" style="15" bestFit="1" customWidth="1"/>
    <col min="5" max="5" width="16.6640625" style="15" bestFit="1" customWidth="1"/>
    <col min="6" max="6" width="24.33203125" style="15" customWidth="1"/>
    <col min="7" max="7" width="16.6640625" style="15" bestFit="1" customWidth="1"/>
    <col min="8" max="9" width="20.83203125" style="15" customWidth="1"/>
    <col min="10" max="10" width="21.1640625" style="15" customWidth="1"/>
    <col min="11" max="11" width="21.6640625" style="15" customWidth="1"/>
  </cols>
  <sheetData>
    <row r="1" spans="1:11">
      <c r="A1" s="22" t="s">
        <v>0</v>
      </c>
      <c r="B1" s="22" t="s">
        <v>1</v>
      </c>
      <c r="C1" s="22" t="s">
        <v>2</v>
      </c>
      <c r="D1" s="22" t="s">
        <v>3</v>
      </c>
      <c r="E1" s="22" t="s">
        <v>4</v>
      </c>
      <c r="F1" s="22" t="s">
        <v>122</v>
      </c>
      <c r="G1" s="22" t="s">
        <v>5</v>
      </c>
      <c r="H1" s="22" t="s">
        <v>6</v>
      </c>
      <c r="I1" s="22"/>
      <c r="J1" s="22" t="s">
        <v>7</v>
      </c>
      <c r="K1" s="22" t="s">
        <v>8</v>
      </c>
    </row>
    <row r="2" spans="1:11" ht="16">
      <c r="A2" s="15">
        <v>1</v>
      </c>
      <c r="B2" s="15">
        <v>4</v>
      </c>
      <c r="C2" s="15" t="s">
        <v>18</v>
      </c>
      <c r="D2" s="15" t="s">
        <v>19</v>
      </c>
      <c r="E2" s="15">
        <f>IF(D2="FT",4,IF(D2="Adjunct",2,))</f>
        <v>4</v>
      </c>
      <c r="F2" s="15">
        <f>COUNTIF(O22:O65,G2)</f>
        <v>0</v>
      </c>
      <c r="G2" s="15" t="s">
        <v>20</v>
      </c>
      <c r="H2" s="16" t="s">
        <v>21</v>
      </c>
      <c r="I2" s="16"/>
      <c r="J2" s="16" t="s">
        <v>22</v>
      </c>
      <c r="K2" s="16" t="s">
        <v>23</v>
      </c>
    </row>
    <row r="3" spans="1:11" ht="16">
      <c r="A3" s="15">
        <v>1</v>
      </c>
      <c r="B3" s="15">
        <v>6</v>
      </c>
      <c r="C3" s="15" t="s">
        <v>26</v>
      </c>
      <c r="D3" s="15" t="s">
        <v>27</v>
      </c>
      <c r="E3" s="15">
        <f t="shared" ref="E3:E33" si="0">IF(D3="FT",4,IF(D3="Adjunct",2,))</f>
        <v>2</v>
      </c>
      <c r="F3" s="15">
        <f>COUNTIF(O22:O65,G3)</f>
        <v>0</v>
      </c>
      <c r="G3" s="15" t="s">
        <v>28</v>
      </c>
      <c r="H3" s="16" t="s">
        <v>29</v>
      </c>
      <c r="I3" s="16"/>
      <c r="J3" s="16" t="s">
        <v>30</v>
      </c>
      <c r="K3" s="16" t="s">
        <v>31</v>
      </c>
    </row>
    <row r="4" spans="1:11" ht="16">
      <c r="A4" s="15">
        <v>1</v>
      </c>
      <c r="B4" s="15">
        <v>6</v>
      </c>
      <c r="C4" s="15" t="s">
        <v>26</v>
      </c>
      <c r="D4" s="15" t="s">
        <v>27</v>
      </c>
      <c r="E4" s="15">
        <f t="shared" si="0"/>
        <v>2</v>
      </c>
      <c r="F4" s="15">
        <f>COUNTIF(O22:O65,G4)</f>
        <v>0</v>
      </c>
      <c r="G4" s="15" t="s">
        <v>33</v>
      </c>
      <c r="H4" s="16" t="s">
        <v>34</v>
      </c>
      <c r="I4" s="16"/>
      <c r="J4" s="16" t="s">
        <v>35</v>
      </c>
      <c r="K4" s="16" t="s">
        <v>36</v>
      </c>
    </row>
    <row r="5" spans="1:11" ht="16">
      <c r="A5" s="15">
        <v>1</v>
      </c>
      <c r="B5" s="15">
        <v>6</v>
      </c>
      <c r="C5" s="15" t="s">
        <v>26</v>
      </c>
      <c r="D5" s="15" t="s">
        <v>27</v>
      </c>
      <c r="E5" s="15">
        <f t="shared" si="0"/>
        <v>2</v>
      </c>
      <c r="F5" s="15">
        <f>COUNTIF(O22:O65,G5)</f>
        <v>0</v>
      </c>
      <c r="G5" s="15" t="s">
        <v>38</v>
      </c>
      <c r="H5" s="16" t="s">
        <v>39</v>
      </c>
      <c r="I5" s="16"/>
      <c r="J5" s="16" t="s">
        <v>32</v>
      </c>
      <c r="K5" s="16" t="s">
        <v>40</v>
      </c>
    </row>
    <row r="6" spans="1:11" ht="16">
      <c r="A6" s="15">
        <v>1</v>
      </c>
      <c r="B6" s="15">
        <v>1</v>
      </c>
      <c r="C6" s="15" t="s">
        <v>42</v>
      </c>
      <c r="D6" s="15" t="s">
        <v>19</v>
      </c>
      <c r="E6" s="15">
        <f t="shared" si="0"/>
        <v>4</v>
      </c>
      <c r="F6" s="15">
        <f>COUNTIF(O22:O65,G6)</f>
        <v>0</v>
      </c>
      <c r="G6" s="15" t="s">
        <v>43</v>
      </c>
      <c r="H6" s="16" t="s">
        <v>44</v>
      </c>
      <c r="I6" s="16"/>
      <c r="J6" s="16" t="s">
        <v>45</v>
      </c>
      <c r="K6" s="16" t="s">
        <v>46</v>
      </c>
    </row>
    <row r="7" spans="1:11" ht="16">
      <c r="A7" s="15">
        <v>1</v>
      </c>
      <c r="B7" s="15">
        <v>4</v>
      </c>
      <c r="C7" s="15" t="s">
        <v>18</v>
      </c>
      <c r="D7" s="15" t="s">
        <v>19</v>
      </c>
      <c r="E7" s="15">
        <f t="shared" si="0"/>
        <v>4</v>
      </c>
      <c r="F7" s="15">
        <f>COUNTIF(O22:O65,G7)</f>
        <v>0</v>
      </c>
      <c r="G7" s="15" t="s">
        <v>48</v>
      </c>
      <c r="H7" s="16" t="s">
        <v>49</v>
      </c>
      <c r="I7" s="16"/>
      <c r="J7" s="16" t="s">
        <v>50</v>
      </c>
      <c r="K7" s="16" t="s">
        <v>51</v>
      </c>
    </row>
    <row r="8" spans="1:11" ht="16">
      <c r="A8" s="15">
        <v>1</v>
      </c>
      <c r="B8" s="15">
        <v>6</v>
      </c>
      <c r="C8" s="15" t="s">
        <v>26</v>
      </c>
      <c r="D8" s="15" t="s">
        <v>27</v>
      </c>
      <c r="E8" s="15">
        <f t="shared" si="0"/>
        <v>2</v>
      </c>
      <c r="F8" s="15">
        <f>COUNTIF(O22:O65,G8)</f>
        <v>0</v>
      </c>
      <c r="G8" s="15" t="s">
        <v>53</v>
      </c>
      <c r="H8" s="16" t="s">
        <v>54</v>
      </c>
      <c r="I8" s="16"/>
      <c r="J8" s="16" t="s">
        <v>37</v>
      </c>
      <c r="K8" s="16" t="s">
        <v>55</v>
      </c>
    </row>
    <row r="9" spans="1:11" ht="16">
      <c r="A9" s="15">
        <v>1</v>
      </c>
      <c r="B9" s="15">
        <v>6</v>
      </c>
      <c r="C9" s="15" t="s">
        <v>26</v>
      </c>
      <c r="D9" s="15" t="s">
        <v>27</v>
      </c>
      <c r="E9" s="15">
        <f t="shared" si="0"/>
        <v>2</v>
      </c>
      <c r="F9" s="15">
        <f>COUNTIF(O22:O65,G9)</f>
        <v>0</v>
      </c>
      <c r="G9" s="15" t="s">
        <v>56</v>
      </c>
      <c r="H9" s="16" t="s">
        <v>57</v>
      </c>
      <c r="I9" s="16"/>
      <c r="J9" s="16" t="s">
        <v>41</v>
      </c>
      <c r="K9" s="16" t="s">
        <v>58</v>
      </c>
    </row>
    <row r="10" spans="1:11" ht="16">
      <c r="A10" s="15">
        <v>1</v>
      </c>
      <c r="B10" s="15">
        <v>6</v>
      </c>
      <c r="C10" s="15" t="s">
        <v>26</v>
      </c>
      <c r="D10" s="15" t="s">
        <v>27</v>
      </c>
      <c r="E10" s="15">
        <f t="shared" si="0"/>
        <v>2</v>
      </c>
      <c r="F10" s="15">
        <f>COUNTIF(O22:O65,G10)</f>
        <v>0</v>
      </c>
      <c r="G10" s="15" t="s">
        <v>60</v>
      </c>
      <c r="H10" s="16" t="s">
        <v>61</v>
      </c>
      <c r="I10" s="16"/>
      <c r="J10" s="16"/>
      <c r="K10" s="16" t="s">
        <v>62</v>
      </c>
    </row>
    <row r="11" spans="1:11" ht="16">
      <c r="A11" s="15">
        <v>1</v>
      </c>
      <c r="B11" s="15">
        <v>2</v>
      </c>
      <c r="C11" s="15" t="s">
        <v>63</v>
      </c>
      <c r="D11" s="15" t="s">
        <v>19</v>
      </c>
      <c r="E11" s="15">
        <f t="shared" si="0"/>
        <v>4</v>
      </c>
      <c r="F11" s="15">
        <f>COUNTIF(O22:O65,G11)</f>
        <v>0</v>
      </c>
      <c r="G11" s="15" t="s">
        <v>64</v>
      </c>
      <c r="H11" s="16" t="s">
        <v>65</v>
      </c>
      <c r="I11" s="16"/>
      <c r="K11" s="16" t="s">
        <v>66</v>
      </c>
    </row>
    <row r="12" spans="1:11" ht="16">
      <c r="A12" s="15">
        <v>1</v>
      </c>
      <c r="B12" s="15">
        <v>6</v>
      </c>
      <c r="C12" s="15" t="s">
        <v>26</v>
      </c>
      <c r="D12" s="15" t="s">
        <v>27</v>
      </c>
      <c r="E12" s="15">
        <f t="shared" si="0"/>
        <v>2</v>
      </c>
      <c r="F12" s="15">
        <f>COUNTIF(O22:O65,G12)</f>
        <v>0</v>
      </c>
      <c r="G12" s="15" t="s">
        <v>68</v>
      </c>
      <c r="H12" s="16" t="s">
        <v>69</v>
      </c>
      <c r="I12" s="16"/>
      <c r="J12" s="25" t="s">
        <v>70</v>
      </c>
      <c r="K12" s="25" t="s">
        <v>71</v>
      </c>
    </row>
    <row r="13" spans="1:11" ht="16">
      <c r="A13" s="15">
        <v>1</v>
      </c>
      <c r="B13" s="15">
        <v>5</v>
      </c>
      <c r="C13" s="15" t="s">
        <v>74</v>
      </c>
      <c r="D13" s="15" t="s">
        <v>19</v>
      </c>
      <c r="E13" s="15">
        <f t="shared" si="0"/>
        <v>4</v>
      </c>
      <c r="F13" s="15">
        <f>COUNTIF(O22:O65,G13)</f>
        <v>0</v>
      </c>
      <c r="G13" s="15" t="s">
        <v>75</v>
      </c>
      <c r="H13" s="16" t="s">
        <v>76</v>
      </c>
      <c r="I13" s="16"/>
      <c r="J13" s="21">
        <v>1</v>
      </c>
      <c r="K13" s="16">
        <v>7</v>
      </c>
    </row>
    <row r="14" spans="1:11" ht="16">
      <c r="A14" s="15">
        <v>1</v>
      </c>
      <c r="B14" s="15">
        <v>6</v>
      </c>
      <c r="C14" s="15" t="s">
        <v>26</v>
      </c>
      <c r="D14" s="15" t="s">
        <v>27</v>
      </c>
      <c r="E14" s="15">
        <f t="shared" si="0"/>
        <v>2</v>
      </c>
      <c r="F14" s="15">
        <f>COUNTIF(O22:O65,G14)</f>
        <v>0</v>
      </c>
      <c r="G14" s="15" t="s">
        <v>84</v>
      </c>
      <c r="H14" s="16" t="s">
        <v>85</v>
      </c>
      <c r="I14" s="16"/>
      <c r="J14" s="21">
        <v>4</v>
      </c>
      <c r="K14" s="16">
        <v>9</v>
      </c>
    </row>
    <row r="15" spans="1:11" ht="16">
      <c r="A15" s="15">
        <v>1</v>
      </c>
      <c r="B15" s="15">
        <v>1</v>
      </c>
      <c r="C15" s="15" t="s">
        <v>42</v>
      </c>
      <c r="D15" s="15" t="s">
        <v>19</v>
      </c>
      <c r="E15" s="15">
        <f t="shared" si="0"/>
        <v>4</v>
      </c>
      <c r="F15" s="15">
        <f>COUNTIF(O22:O65,G15)</f>
        <v>0</v>
      </c>
      <c r="G15" s="15" t="s">
        <v>88</v>
      </c>
      <c r="H15" s="16" t="s">
        <v>89</v>
      </c>
      <c r="I15" s="16"/>
      <c r="J15" s="21">
        <v>7</v>
      </c>
    </row>
    <row r="16" spans="1:11" ht="16">
      <c r="A16" s="15">
        <v>1</v>
      </c>
      <c r="B16" s="15">
        <v>4</v>
      </c>
      <c r="C16" s="15" t="s">
        <v>18</v>
      </c>
      <c r="D16" s="15" t="s">
        <v>19</v>
      </c>
      <c r="E16" s="15">
        <f t="shared" si="0"/>
        <v>4</v>
      </c>
      <c r="F16" s="15">
        <f>COUNTIF(O22:O65,G16)</f>
        <v>0</v>
      </c>
      <c r="G16" s="15" t="s">
        <v>91</v>
      </c>
      <c r="H16" s="16" t="s">
        <v>92</v>
      </c>
      <c r="I16" s="16"/>
      <c r="J16" s="21">
        <v>8</v>
      </c>
    </row>
    <row r="17" spans="1:11" ht="16">
      <c r="A17" s="15">
        <v>1</v>
      </c>
      <c r="B17" s="15">
        <v>2</v>
      </c>
      <c r="C17" s="15" t="s">
        <v>63</v>
      </c>
      <c r="D17" s="15" t="s">
        <v>19</v>
      </c>
      <c r="E17" s="15">
        <f t="shared" si="0"/>
        <v>4</v>
      </c>
      <c r="F17" s="15">
        <f>COUNTIF(O22:O65,G17)</f>
        <v>0</v>
      </c>
      <c r="G17" s="15" t="s">
        <v>93</v>
      </c>
      <c r="H17" s="16" t="s">
        <v>94</v>
      </c>
      <c r="I17" s="16"/>
    </row>
    <row r="18" spans="1:11" ht="16">
      <c r="A18" s="15">
        <v>1</v>
      </c>
      <c r="B18" s="15">
        <v>2</v>
      </c>
      <c r="C18" s="15" t="s">
        <v>63</v>
      </c>
      <c r="D18" s="15" t="s">
        <v>19</v>
      </c>
      <c r="E18" s="15">
        <f t="shared" si="0"/>
        <v>4</v>
      </c>
      <c r="F18" s="15">
        <f>COUNTIF(O22:O65,G18)</f>
        <v>0</v>
      </c>
      <c r="G18" s="15" t="s">
        <v>96</v>
      </c>
      <c r="H18" s="16" t="s">
        <v>97</v>
      </c>
      <c r="I18" s="16"/>
      <c r="J18" s="21"/>
    </row>
    <row r="19" spans="1:11" ht="16">
      <c r="A19" s="15">
        <v>1</v>
      </c>
      <c r="B19" s="15">
        <v>6</v>
      </c>
      <c r="C19" s="15" t="s">
        <v>26</v>
      </c>
      <c r="D19" s="15" t="s">
        <v>27</v>
      </c>
      <c r="E19" s="15">
        <f t="shared" si="0"/>
        <v>2</v>
      </c>
      <c r="F19" s="15">
        <f>COUNTIF(O22:O65,G19)</f>
        <v>0</v>
      </c>
      <c r="G19" s="15" t="s">
        <v>98</v>
      </c>
      <c r="H19" s="16" t="s">
        <v>99</v>
      </c>
      <c r="I19" s="16"/>
      <c r="J19" s="21"/>
    </row>
    <row r="20" spans="1:11" ht="16">
      <c r="A20" s="15">
        <v>1</v>
      </c>
      <c r="B20" s="15">
        <v>6</v>
      </c>
      <c r="C20" s="15" t="s">
        <v>26</v>
      </c>
      <c r="D20" s="15" t="s">
        <v>27</v>
      </c>
      <c r="E20" s="15">
        <f t="shared" si="0"/>
        <v>2</v>
      </c>
      <c r="F20" s="15">
        <f>COUNTIF(O22:O65,G20)</f>
        <v>0</v>
      </c>
      <c r="G20" s="15" t="s">
        <v>100</v>
      </c>
      <c r="J20" s="16"/>
      <c r="K20" s="16"/>
    </row>
    <row r="21" spans="1:11" ht="16">
      <c r="A21" s="15">
        <v>1</v>
      </c>
      <c r="B21" s="15">
        <v>1</v>
      </c>
      <c r="C21" s="15" t="s">
        <v>42</v>
      </c>
      <c r="D21" s="15" t="s">
        <v>19</v>
      </c>
      <c r="E21" s="15">
        <f t="shared" si="0"/>
        <v>4</v>
      </c>
      <c r="F21" s="15">
        <f>COUNTIF(O22:O65,G21)</f>
        <v>0</v>
      </c>
      <c r="G21" s="15" t="s">
        <v>101</v>
      </c>
      <c r="J21" s="16"/>
      <c r="K21" s="16"/>
    </row>
    <row r="22" spans="1:11" ht="16">
      <c r="A22" s="15">
        <v>1</v>
      </c>
      <c r="B22" s="15">
        <v>4</v>
      </c>
      <c r="C22" s="15" t="s">
        <v>18</v>
      </c>
      <c r="D22" s="15" t="s">
        <v>19</v>
      </c>
      <c r="E22" s="15">
        <f t="shared" si="0"/>
        <v>4</v>
      </c>
      <c r="F22" s="15">
        <f>COUNTIF(O22:O65,G22)</f>
        <v>0</v>
      </c>
      <c r="G22" s="15" t="s">
        <v>107</v>
      </c>
      <c r="J22" s="16"/>
      <c r="K22" s="16"/>
    </row>
    <row r="23" spans="1:11" ht="16">
      <c r="A23" s="15">
        <v>1</v>
      </c>
      <c r="B23" s="15">
        <v>6</v>
      </c>
      <c r="C23" s="15" t="s">
        <v>26</v>
      </c>
      <c r="D23" s="15" t="s">
        <v>27</v>
      </c>
      <c r="E23" s="15">
        <f t="shared" si="0"/>
        <v>2</v>
      </c>
      <c r="F23" s="15">
        <f>COUNTIF(O22:O65,G23)</f>
        <v>0</v>
      </c>
      <c r="G23" s="15" t="s">
        <v>108</v>
      </c>
      <c r="J23" s="16"/>
      <c r="K23" s="16"/>
    </row>
    <row r="24" spans="1:11" ht="16">
      <c r="A24" s="15">
        <v>1</v>
      </c>
      <c r="B24" s="15">
        <v>6</v>
      </c>
      <c r="C24" s="15" t="s">
        <v>26</v>
      </c>
      <c r="D24" s="15" t="s">
        <v>27</v>
      </c>
      <c r="E24" s="15">
        <f t="shared" si="0"/>
        <v>2</v>
      </c>
      <c r="F24" s="15">
        <f>COUNTIF(O22:O65,G24)</f>
        <v>0</v>
      </c>
      <c r="G24" s="15" t="s">
        <v>109</v>
      </c>
      <c r="J24" s="16"/>
      <c r="K24" s="16"/>
    </row>
    <row r="25" spans="1:11" ht="16">
      <c r="A25" s="15">
        <v>1</v>
      </c>
      <c r="B25" s="15">
        <v>6</v>
      </c>
      <c r="C25" s="15" t="s">
        <v>26</v>
      </c>
      <c r="D25" s="15" t="s">
        <v>27</v>
      </c>
      <c r="E25" s="15">
        <f t="shared" si="0"/>
        <v>2</v>
      </c>
      <c r="F25" s="15">
        <f>COUNTIF(O22:O65,G25)</f>
        <v>0</v>
      </c>
      <c r="G25" s="15" t="s">
        <v>110</v>
      </c>
      <c r="J25" s="16"/>
      <c r="K25" s="16"/>
    </row>
    <row r="26" spans="1:11" ht="16">
      <c r="A26" s="15">
        <v>1</v>
      </c>
      <c r="B26" s="15">
        <v>2</v>
      </c>
      <c r="C26" s="15" t="s">
        <v>63</v>
      </c>
      <c r="D26" s="15" t="s">
        <v>19</v>
      </c>
      <c r="E26" s="15">
        <f t="shared" si="0"/>
        <v>4</v>
      </c>
      <c r="F26" s="15">
        <f>COUNTIF(O22:O65,G26)</f>
        <v>0</v>
      </c>
      <c r="G26" s="15" t="s">
        <v>111</v>
      </c>
      <c r="J26" s="16"/>
      <c r="K26" s="16"/>
    </row>
    <row r="27" spans="1:11" ht="16">
      <c r="A27" s="15">
        <v>1</v>
      </c>
      <c r="B27" s="15">
        <v>6</v>
      </c>
      <c r="C27" s="15" t="s">
        <v>26</v>
      </c>
      <c r="D27" s="15" t="s">
        <v>27</v>
      </c>
      <c r="E27" s="15">
        <f t="shared" si="0"/>
        <v>2</v>
      </c>
      <c r="F27" s="15">
        <f>COUNTIF(O22:O65,G27)</f>
        <v>0</v>
      </c>
      <c r="G27" s="15" t="s">
        <v>112</v>
      </c>
      <c r="J27" s="16"/>
      <c r="K27" s="16"/>
    </row>
    <row r="28" spans="1:11" ht="16">
      <c r="A28" s="15">
        <v>1</v>
      </c>
      <c r="B28" s="15">
        <v>6</v>
      </c>
      <c r="C28" s="15" t="s">
        <v>26</v>
      </c>
      <c r="D28" s="15" t="s">
        <v>27</v>
      </c>
      <c r="E28" s="15">
        <f t="shared" si="0"/>
        <v>2</v>
      </c>
      <c r="F28" s="15">
        <f>COUNTIF(O22:O65,G28)</f>
        <v>0</v>
      </c>
      <c r="G28" s="15" t="s">
        <v>113</v>
      </c>
      <c r="J28" s="16"/>
      <c r="K28" s="16"/>
    </row>
    <row r="29" spans="1:11" ht="16">
      <c r="A29" s="15">
        <v>1</v>
      </c>
      <c r="B29" s="15">
        <v>2</v>
      </c>
      <c r="C29" s="15" t="s">
        <v>63</v>
      </c>
      <c r="D29" s="15" t="s">
        <v>19</v>
      </c>
      <c r="E29" s="15">
        <f t="shared" si="0"/>
        <v>4</v>
      </c>
      <c r="F29" s="15">
        <f>COUNTIF(O22:O65,G29)</f>
        <v>0</v>
      </c>
      <c r="G29" s="15" t="s">
        <v>114</v>
      </c>
      <c r="J29" s="16"/>
      <c r="K29" s="16"/>
    </row>
    <row r="30" spans="1:11" ht="16">
      <c r="A30" s="15">
        <v>1</v>
      </c>
      <c r="B30" s="15">
        <v>6</v>
      </c>
      <c r="C30" s="15" t="s">
        <v>26</v>
      </c>
      <c r="D30" s="15" t="s">
        <v>27</v>
      </c>
      <c r="E30" s="15">
        <f t="shared" si="0"/>
        <v>2</v>
      </c>
      <c r="F30" s="15">
        <f>COUNTIF(O22:O65,G30)</f>
        <v>0</v>
      </c>
      <c r="G30" s="15" t="s">
        <v>115</v>
      </c>
      <c r="J30" s="16"/>
      <c r="K30" s="16"/>
    </row>
    <row r="31" spans="1:11" ht="16">
      <c r="A31" s="15">
        <v>1</v>
      </c>
      <c r="B31" s="15">
        <v>3</v>
      </c>
      <c r="C31" s="15" t="s">
        <v>116</v>
      </c>
      <c r="D31" s="15" t="s">
        <v>19</v>
      </c>
      <c r="E31" s="15">
        <f t="shared" si="0"/>
        <v>4</v>
      </c>
      <c r="F31" s="15">
        <f>COUNTIF(O22:O65,G31)</f>
        <v>0</v>
      </c>
      <c r="G31" s="15" t="s">
        <v>117</v>
      </c>
      <c r="J31" s="16"/>
      <c r="K31" s="16"/>
    </row>
    <row r="32" spans="1:11" ht="16">
      <c r="A32" s="15">
        <v>1</v>
      </c>
      <c r="B32" s="15">
        <v>1</v>
      </c>
      <c r="C32" s="15" t="s">
        <v>42</v>
      </c>
      <c r="D32" s="15" t="s">
        <v>19</v>
      </c>
      <c r="E32" s="15">
        <f t="shared" si="0"/>
        <v>4</v>
      </c>
      <c r="F32" s="15">
        <f>COUNTIF(O22:O65,G32)</f>
        <v>0</v>
      </c>
      <c r="G32" s="15" t="s">
        <v>118</v>
      </c>
      <c r="J32" s="16"/>
      <c r="K32" s="16"/>
    </row>
    <row r="33" spans="1:11" ht="16">
      <c r="A33" s="15">
        <v>1</v>
      </c>
      <c r="B33" s="15">
        <v>3</v>
      </c>
      <c r="C33" s="15" t="s">
        <v>116</v>
      </c>
      <c r="D33" s="15" t="s">
        <v>19</v>
      </c>
      <c r="E33" s="15">
        <f t="shared" si="0"/>
        <v>4</v>
      </c>
      <c r="F33" s="15">
        <f>COUNTIF(O22:O65,G33)</f>
        <v>0</v>
      </c>
      <c r="G33" s="15" t="s">
        <v>119</v>
      </c>
      <c r="J33" s="16"/>
      <c r="K33" s="16"/>
    </row>
    <row r="34" spans="1:11" ht="16">
      <c r="E34" s="16"/>
      <c r="F34" s="16"/>
    </row>
    <row r="35" spans="1:11" ht="16">
      <c r="E35" s="16"/>
      <c r="F35" s="16"/>
    </row>
    <row r="36" spans="1:11" ht="16">
      <c r="E36" s="16"/>
      <c r="F36" s="16"/>
    </row>
    <row r="37" spans="1:11" ht="16">
      <c r="E37" s="16"/>
      <c r="F37" s="16"/>
    </row>
    <row r="38" spans="1:11" ht="16">
      <c r="E38" s="16"/>
      <c r="F38" s="16"/>
    </row>
    <row r="39" spans="1:11" ht="16">
      <c r="E39" s="16"/>
      <c r="F39" s="16"/>
    </row>
    <row r="40" spans="1:11" ht="16">
      <c r="E40" s="16"/>
      <c r="F40" s="16"/>
    </row>
    <row r="41" spans="1:11" ht="16">
      <c r="E41" s="16"/>
      <c r="F41" s="16"/>
    </row>
    <row r="42" spans="1:11" ht="16">
      <c r="E42" s="16"/>
      <c r="F42" s="16"/>
    </row>
    <row r="43" spans="1:11" ht="16">
      <c r="E43" s="16"/>
      <c r="F43" s="16"/>
    </row>
    <row r="44" spans="1:11" ht="16">
      <c r="E44" s="16"/>
      <c r="F44" s="16"/>
    </row>
    <row r="45" spans="1:11" ht="16">
      <c r="E45" s="16"/>
      <c r="F45" s="16"/>
    </row>
    <row r="46" spans="1:11" ht="16">
      <c r="E46" s="16"/>
      <c r="F46" s="16"/>
    </row>
    <row r="47" spans="1:11" ht="16">
      <c r="E47" s="16"/>
      <c r="F47" s="16"/>
    </row>
    <row r="48" spans="1:11" ht="16">
      <c r="E48" s="16"/>
      <c r="F48" s="16"/>
    </row>
    <row r="49" spans="5:6" ht="16">
      <c r="E49" s="16"/>
      <c r="F49" s="16"/>
    </row>
    <row r="50" spans="5:6" ht="16">
      <c r="E50" s="16"/>
      <c r="F50" s="16"/>
    </row>
    <row r="51" spans="5:6" ht="16">
      <c r="E51" s="16"/>
      <c r="F51" s="16"/>
    </row>
    <row r="52" spans="5:6" ht="16">
      <c r="E52" s="16"/>
      <c r="F52" s="16"/>
    </row>
    <row r="53" spans="5:6" ht="16">
      <c r="E53" s="16"/>
      <c r="F53" s="16"/>
    </row>
    <row r="54" spans="5:6" ht="16">
      <c r="E54" s="16"/>
      <c r="F54" s="16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97"/>
  <sheetViews>
    <sheetView workbookViewId="0">
      <pane ySplit="1" topLeftCell="A2" activePane="bottomLeft" state="frozen"/>
      <selection pane="bottomLeft" activeCell="B8" sqref="B8"/>
    </sheetView>
  </sheetViews>
  <sheetFormatPr baseColWidth="10" defaultRowHeight="15"/>
  <cols>
    <col min="1" max="1" width="24.83203125" customWidth="1"/>
    <col min="2" max="2" width="29.5" customWidth="1"/>
    <col min="3" max="3" width="19.6640625" customWidth="1"/>
    <col min="4" max="4" width="25.1640625" customWidth="1"/>
    <col min="5" max="5" width="56.83203125" customWidth="1"/>
    <col min="6" max="6" width="33.33203125" customWidth="1"/>
    <col min="7" max="7" width="6.6640625" customWidth="1"/>
    <col min="8" max="8" width="23" customWidth="1"/>
    <col min="9" max="9" width="24.1640625" customWidth="1"/>
    <col min="10" max="10" width="19.1640625" customWidth="1"/>
    <col min="11" max="11" width="20.33203125" customWidth="1"/>
  </cols>
  <sheetData>
    <row r="1" spans="1:11" s="59" customFormat="1" ht="21">
      <c r="A1" s="58" t="s">
        <v>125</v>
      </c>
      <c r="B1" s="58" t="s">
        <v>103</v>
      </c>
      <c r="C1" s="58" t="s">
        <v>126</v>
      </c>
      <c r="D1" s="58" t="s">
        <v>221</v>
      </c>
      <c r="E1" s="58" t="s">
        <v>127</v>
      </c>
      <c r="F1" s="58" t="s">
        <v>128</v>
      </c>
      <c r="G1" s="58" t="s">
        <v>7</v>
      </c>
      <c r="H1" s="58" t="s">
        <v>8</v>
      </c>
      <c r="I1" s="58" t="s">
        <v>129</v>
      </c>
      <c r="J1" s="58" t="s">
        <v>130</v>
      </c>
      <c r="K1" s="58" t="s">
        <v>131</v>
      </c>
    </row>
    <row r="2" spans="1:11" ht="16">
      <c r="A2" s="47">
        <v>10820</v>
      </c>
      <c r="B2" s="47" t="s">
        <v>69</v>
      </c>
      <c r="C2" s="48">
        <v>100</v>
      </c>
      <c r="D2" s="48">
        <v>2</v>
      </c>
      <c r="E2" s="47" t="s">
        <v>132</v>
      </c>
      <c r="F2" s="47" t="s">
        <v>133</v>
      </c>
      <c r="G2" s="47" t="s">
        <v>37</v>
      </c>
      <c r="H2" s="47" t="s">
        <v>58</v>
      </c>
      <c r="I2" s="47" t="s">
        <v>134</v>
      </c>
      <c r="J2" s="49" t="s">
        <v>135</v>
      </c>
      <c r="K2" s="47" t="s">
        <v>136</v>
      </c>
    </row>
    <row r="3" spans="1:11" ht="16">
      <c r="A3" s="47">
        <v>10821</v>
      </c>
      <c r="B3" s="47" t="s">
        <v>69</v>
      </c>
      <c r="C3" s="48">
        <v>200</v>
      </c>
      <c r="D3" s="48">
        <v>2</v>
      </c>
      <c r="E3" s="47" t="s">
        <v>132</v>
      </c>
      <c r="F3" s="47" t="s">
        <v>133</v>
      </c>
      <c r="G3" s="47" t="s">
        <v>41</v>
      </c>
      <c r="H3" s="47" t="s">
        <v>66</v>
      </c>
      <c r="I3" s="47" t="s">
        <v>137</v>
      </c>
      <c r="J3" s="47" t="s">
        <v>138</v>
      </c>
      <c r="K3" s="47" t="s">
        <v>139</v>
      </c>
    </row>
    <row r="4" spans="1:11" ht="16">
      <c r="A4" s="47">
        <v>10822</v>
      </c>
      <c r="B4" s="47" t="s">
        <v>76</v>
      </c>
      <c r="C4" s="48">
        <v>100</v>
      </c>
      <c r="D4" s="48">
        <v>2</v>
      </c>
      <c r="E4" s="47" t="s">
        <v>140</v>
      </c>
      <c r="F4" s="47" t="s">
        <v>133</v>
      </c>
      <c r="G4" s="47" t="s">
        <v>22</v>
      </c>
      <c r="H4" s="47" t="s">
        <v>58</v>
      </c>
      <c r="I4" s="47" t="s">
        <v>141</v>
      </c>
      <c r="J4" s="47" t="s">
        <v>142</v>
      </c>
      <c r="K4" s="47" t="s">
        <v>136</v>
      </c>
    </row>
    <row r="5" spans="1:11" ht="16">
      <c r="A5" s="47">
        <v>10823</v>
      </c>
      <c r="B5" s="47" t="s">
        <v>76</v>
      </c>
      <c r="C5" s="48">
        <v>200</v>
      </c>
      <c r="D5" s="48">
        <v>2</v>
      </c>
      <c r="E5" s="47" t="s">
        <v>140</v>
      </c>
      <c r="F5" s="47" t="s">
        <v>133</v>
      </c>
      <c r="G5" s="47" t="s">
        <v>22</v>
      </c>
      <c r="H5" s="47" t="s">
        <v>66</v>
      </c>
      <c r="I5" s="47" t="s">
        <v>141</v>
      </c>
      <c r="J5" s="47" t="s">
        <v>142</v>
      </c>
      <c r="K5" s="47" t="s">
        <v>136</v>
      </c>
    </row>
    <row r="6" spans="1:11" ht="16">
      <c r="A6" s="47">
        <v>10824</v>
      </c>
      <c r="B6" s="47" t="s">
        <v>76</v>
      </c>
      <c r="C6" s="48" t="s">
        <v>143</v>
      </c>
      <c r="D6" s="48">
        <v>2</v>
      </c>
      <c r="E6" s="47" t="s">
        <v>140</v>
      </c>
      <c r="F6" s="47" t="s">
        <v>133</v>
      </c>
      <c r="G6" s="47" t="s">
        <v>37</v>
      </c>
      <c r="H6" s="47" t="s">
        <v>66</v>
      </c>
      <c r="I6" s="47" t="s">
        <v>144</v>
      </c>
      <c r="J6" s="47" t="s">
        <v>145</v>
      </c>
      <c r="K6" s="47" t="s">
        <v>136</v>
      </c>
    </row>
    <row r="7" spans="1:11" ht="16">
      <c r="A7" s="47">
        <v>10973</v>
      </c>
      <c r="B7" s="47" t="s">
        <v>76</v>
      </c>
      <c r="C7" s="48" t="s">
        <v>146</v>
      </c>
      <c r="D7" s="48">
        <v>2</v>
      </c>
      <c r="E7" s="47" t="s">
        <v>147</v>
      </c>
      <c r="F7" s="47" t="s">
        <v>133</v>
      </c>
      <c r="G7" s="47" t="s">
        <v>37</v>
      </c>
      <c r="H7" s="47" t="s">
        <v>148</v>
      </c>
      <c r="I7" s="47" t="s">
        <v>144</v>
      </c>
      <c r="J7" s="47" t="s">
        <v>149</v>
      </c>
      <c r="K7" s="47" t="s">
        <v>136</v>
      </c>
    </row>
    <row r="8" spans="1:11" ht="16">
      <c r="A8" s="47" t="s">
        <v>150</v>
      </c>
      <c r="B8" s="47" t="s">
        <v>151</v>
      </c>
      <c r="C8" s="48" t="s">
        <v>152</v>
      </c>
      <c r="D8" s="48">
        <v>2</v>
      </c>
      <c r="E8" s="47" t="s">
        <v>153</v>
      </c>
      <c r="F8" s="47" t="s">
        <v>154</v>
      </c>
      <c r="G8" s="47" t="s">
        <v>41</v>
      </c>
      <c r="H8" s="47" t="s">
        <v>66</v>
      </c>
      <c r="I8" s="47" t="s">
        <v>155</v>
      </c>
      <c r="J8" s="47" t="s">
        <v>156</v>
      </c>
      <c r="K8" s="47" t="s">
        <v>136</v>
      </c>
    </row>
    <row r="9" spans="1:11" ht="16">
      <c r="A9" s="47">
        <v>10826</v>
      </c>
      <c r="B9" s="47" t="s">
        <v>89</v>
      </c>
      <c r="C9" s="48">
        <v>100</v>
      </c>
      <c r="D9" s="48">
        <v>2</v>
      </c>
      <c r="E9" s="47" t="s">
        <v>157</v>
      </c>
      <c r="F9" s="47" t="s">
        <v>133</v>
      </c>
      <c r="G9" s="47" t="s">
        <v>32</v>
      </c>
      <c r="H9" s="47" t="s">
        <v>58</v>
      </c>
      <c r="I9" s="47" t="s">
        <v>137</v>
      </c>
      <c r="J9" s="47" t="s">
        <v>158</v>
      </c>
      <c r="K9" s="47" t="s">
        <v>136</v>
      </c>
    </row>
    <row r="10" spans="1:11" ht="16">
      <c r="A10" s="47">
        <v>10827</v>
      </c>
      <c r="B10" s="47" t="s">
        <v>92</v>
      </c>
      <c r="C10" s="48">
        <v>100</v>
      </c>
      <c r="D10" s="48">
        <v>2</v>
      </c>
      <c r="E10" s="47" t="s">
        <v>159</v>
      </c>
      <c r="F10" s="47" t="s">
        <v>133</v>
      </c>
      <c r="G10" s="47" t="s">
        <v>41</v>
      </c>
      <c r="H10" s="47" t="s">
        <v>58</v>
      </c>
      <c r="I10" s="47" t="s">
        <v>160</v>
      </c>
      <c r="J10" s="47" t="s">
        <v>158</v>
      </c>
      <c r="K10" s="47" t="s">
        <v>136</v>
      </c>
    </row>
    <row r="11" spans="1:11" ht="16">
      <c r="A11" s="47">
        <v>10828</v>
      </c>
      <c r="B11" s="47" t="s">
        <v>94</v>
      </c>
      <c r="C11" s="48">
        <v>100</v>
      </c>
      <c r="D11" s="48">
        <v>2</v>
      </c>
      <c r="E11" s="47" t="s">
        <v>161</v>
      </c>
      <c r="F11" s="47" t="s">
        <v>133</v>
      </c>
      <c r="G11" s="47" t="s">
        <v>32</v>
      </c>
      <c r="H11" s="47" t="s">
        <v>66</v>
      </c>
      <c r="I11" s="47" t="s">
        <v>162</v>
      </c>
      <c r="J11" s="47" t="s">
        <v>145</v>
      </c>
      <c r="K11" s="47" t="s">
        <v>136</v>
      </c>
    </row>
    <row r="12" spans="1:11" ht="16">
      <c r="A12" s="47">
        <v>10829</v>
      </c>
      <c r="B12" s="47" t="s">
        <v>97</v>
      </c>
      <c r="C12" s="50">
        <v>100</v>
      </c>
      <c r="D12" s="48">
        <v>2</v>
      </c>
      <c r="E12" s="47" t="s">
        <v>163</v>
      </c>
      <c r="F12" s="47" t="s">
        <v>133</v>
      </c>
      <c r="G12" s="47" t="s">
        <v>37</v>
      </c>
      <c r="H12" s="47" t="s">
        <v>66</v>
      </c>
      <c r="I12" s="47" t="s">
        <v>162</v>
      </c>
      <c r="J12" s="47" t="s">
        <v>164</v>
      </c>
      <c r="K12" s="47" t="s">
        <v>136</v>
      </c>
    </row>
    <row r="13" spans="1:11" ht="16">
      <c r="A13" s="47">
        <v>10830</v>
      </c>
      <c r="B13" s="47" t="s">
        <v>99</v>
      </c>
      <c r="C13" s="48">
        <v>100</v>
      </c>
      <c r="D13" s="48">
        <v>2</v>
      </c>
      <c r="E13" s="47" t="s">
        <v>165</v>
      </c>
      <c r="F13" s="47" t="s">
        <v>133</v>
      </c>
      <c r="G13" s="47" t="s">
        <v>37</v>
      </c>
      <c r="H13" s="47" t="s">
        <v>58</v>
      </c>
      <c r="I13" s="47" t="s">
        <v>162</v>
      </c>
      <c r="J13" s="47" t="s">
        <v>166</v>
      </c>
      <c r="K13" s="47" t="s">
        <v>139</v>
      </c>
    </row>
    <row r="14" spans="1:11" ht="16">
      <c r="A14" s="47">
        <v>10044</v>
      </c>
      <c r="B14" s="47" t="s">
        <v>29</v>
      </c>
      <c r="C14" s="51">
        <v>1</v>
      </c>
      <c r="D14" s="52">
        <v>1</v>
      </c>
      <c r="E14" s="47" t="s">
        <v>167</v>
      </c>
      <c r="F14" s="47" t="s">
        <v>168</v>
      </c>
      <c r="G14" s="47" t="s">
        <v>30</v>
      </c>
      <c r="H14" s="47" t="s">
        <v>31</v>
      </c>
      <c r="I14" s="47" t="s">
        <v>169</v>
      </c>
      <c r="J14" s="47" t="s">
        <v>149</v>
      </c>
      <c r="K14" s="47" t="s">
        <v>136</v>
      </c>
    </row>
    <row r="15" spans="1:11" ht="16">
      <c r="A15" s="47">
        <v>10045</v>
      </c>
      <c r="B15" s="47" t="s">
        <v>29</v>
      </c>
      <c r="C15" s="51">
        <v>2</v>
      </c>
      <c r="D15" s="52">
        <v>1</v>
      </c>
      <c r="E15" s="47" t="s">
        <v>167</v>
      </c>
      <c r="F15" s="47" t="s">
        <v>168</v>
      </c>
      <c r="G15" s="47" t="s">
        <v>50</v>
      </c>
      <c r="H15" s="47" t="s">
        <v>31</v>
      </c>
      <c r="I15" s="47" t="s">
        <v>162</v>
      </c>
      <c r="J15" s="47" t="s">
        <v>170</v>
      </c>
      <c r="K15" s="47" t="s">
        <v>136</v>
      </c>
    </row>
    <row r="16" spans="1:11" ht="16">
      <c r="A16" s="47">
        <v>10046</v>
      </c>
      <c r="B16" s="47" t="s">
        <v>171</v>
      </c>
      <c r="C16" s="51">
        <v>3</v>
      </c>
      <c r="D16" s="52">
        <v>1</v>
      </c>
      <c r="E16" s="47" t="s">
        <v>167</v>
      </c>
      <c r="F16" s="47" t="s">
        <v>168</v>
      </c>
      <c r="G16" s="47" t="s">
        <v>35</v>
      </c>
      <c r="H16" s="47" t="s">
        <v>172</v>
      </c>
      <c r="I16" s="47" t="s">
        <v>169</v>
      </c>
      <c r="J16" s="47" t="s">
        <v>149</v>
      </c>
      <c r="K16" s="47" t="s">
        <v>136</v>
      </c>
    </row>
    <row r="17" spans="1:11" ht="16">
      <c r="A17" s="47">
        <v>10047</v>
      </c>
      <c r="B17" s="47" t="s">
        <v>171</v>
      </c>
      <c r="C17" s="51">
        <v>4</v>
      </c>
      <c r="D17" s="52">
        <v>1</v>
      </c>
      <c r="E17" s="47" t="s">
        <v>167</v>
      </c>
      <c r="F17" s="47" t="s">
        <v>168</v>
      </c>
      <c r="G17" s="47" t="s">
        <v>50</v>
      </c>
      <c r="H17" s="47" t="s">
        <v>172</v>
      </c>
      <c r="I17" s="47" t="s">
        <v>173</v>
      </c>
      <c r="J17" s="47" t="s">
        <v>174</v>
      </c>
      <c r="K17" s="47" t="s">
        <v>139</v>
      </c>
    </row>
    <row r="18" spans="1:11" ht="16">
      <c r="A18" s="47">
        <v>10048</v>
      </c>
      <c r="B18" s="47" t="s">
        <v>29</v>
      </c>
      <c r="C18" s="51">
        <v>5</v>
      </c>
      <c r="D18" s="52">
        <v>1</v>
      </c>
      <c r="E18" s="47" t="s">
        <v>167</v>
      </c>
      <c r="F18" s="47" t="s">
        <v>168</v>
      </c>
      <c r="G18" s="47" t="s">
        <v>30</v>
      </c>
      <c r="H18" s="47" t="s">
        <v>51</v>
      </c>
      <c r="I18" s="47" t="s">
        <v>144</v>
      </c>
      <c r="J18" s="47" t="s">
        <v>166</v>
      </c>
      <c r="K18" s="47" t="s">
        <v>136</v>
      </c>
    </row>
    <row r="19" spans="1:11" ht="16">
      <c r="A19" s="47">
        <v>10049</v>
      </c>
      <c r="B19" s="47" t="s">
        <v>171</v>
      </c>
      <c r="C19" s="51">
        <v>6</v>
      </c>
      <c r="D19" s="52">
        <v>1</v>
      </c>
      <c r="E19" s="47" t="s">
        <v>167</v>
      </c>
      <c r="F19" s="47" t="s">
        <v>168</v>
      </c>
      <c r="G19" s="47" t="s">
        <v>45</v>
      </c>
      <c r="H19" s="47" t="s">
        <v>51</v>
      </c>
      <c r="I19" s="47" t="s">
        <v>162</v>
      </c>
      <c r="J19" s="47" t="s">
        <v>166</v>
      </c>
      <c r="K19" s="47" t="s">
        <v>136</v>
      </c>
    </row>
    <row r="20" spans="1:11" ht="16">
      <c r="A20" s="47">
        <v>10952</v>
      </c>
      <c r="B20" s="47" t="s">
        <v>171</v>
      </c>
      <c r="C20" s="51">
        <v>7</v>
      </c>
      <c r="D20" s="52">
        <v>1</v>
      </c>
      <c r="E20" s="47" t="s">
        <v>175</v>
      </c>
      <c r="F20" s="47" t="s">
        <v>168</v>
      </c>
      <c r="G20" s="47" t="s">
        <v>35</v>
      </c>
      <c r="H20" s="47" t="s">
        <v>40</v>
      </c>
      <c r="I20" s="47" t="s">
        <v>144</v>
      </c>
      <c r="J20" s="47" t="s">
        <v>176</v>
      </c>
      <c r="K20" s="47" t="s">
        <v>136</v>
      </c>
    </row>
    <row r="21" spans="1:11" ht="16">
      <c r="A21" s="47">
        <v>10953</v>
      </c>
      <c r="B21" s="47" t="s">
        <v>171</v>
      </c>
      <c r="C21" s="51">
        <v>8</v>
      </c>
      <c r="D21" s="52">
        <v>1</v>
      </c>
      <c r="E21" s="47" t="s">
        <v>175</v>
      </c>
      <c r="F21" s="47" t="s">
        <v>168</v>
      </c>
      <c r="G21" s="47" t="s">
        <v>35</v>
      </c>
      <c r="H21" s="47" t="s">
        <v>46</v>
      </c>
      <c r="I21" s="47" t="s">
        <v>144</v>
      </c>
      <c r="J21" s="47" t="s">
        <v>176</v>
      </c>
      <c r="K21" s="47" t="s">
        <v>136</v>
      </c>
    </row>
    <row r="22" spans="1:11" ht="16">
      <c r="A22" s="47">
        <v>10050</v>
      </c>
      <c r="B22" s="47" t="s">
        <v>171</v>
      </c>
      <c r="C22" s="51" t="s">
        <v>177</v>
      </c>
      <c r="D22" s="52" t="s">
        <v>178</v>
      </c>
      <c r="E22" s="47" t="s">
        <v>167</v>
      </c>
      <c r="F22" s="47" t="s">
        <v>179</v>
      </c>
      <c r="G22" s="47" t="s">
        <v>32</v>
      </c>
      <c r="H22" s="47" t="s">
        <v>62</v>
      </c>
      <c r="I22" s="47" t="s">
        <v>134</v>
      </c>
      <c r="J22" s="47" t="s">
        <v>180</v>
      </c>
      <c r="K22" s="47" t="s">
        <v>139</v>
      </c>
    </row>
    <row r="23" spans="1:11" ht="16">
      <c r="A23" s="47">
        <v>10051</v>
      </c>
      <c r="B23" s="47" t="s">
        <v>171</v>
      </c>
      <c r="C23" s="51" t="s">
        <v>181</v>
      </c>
      <c r="D23" s="52" t="s">
        <v>178</v>
      </c>
      <c r="E23" s="47" t="s">
        <v>167</v>
      </c>
      <c r="F23" s="47" t="s">
        <v>179</v>
      </c>
      <c r="G23" s="47" t="s">
        <v>41</v>
      </c>
      <c r="H23" s="47" t="s">
        <v>62</v>
      </c>
      <c r="I23" s="47" t="s">
        <v>182</v>
      </c>
      <c r="J23" s="47" t="s">
        <v>183</v>
      </c>
      <c r="K23" s="47" t="s">
        <v>139</v>
      </c>
    </row>
    <row r="24" spans="1:11" ht="16">
      <c r="A24" s="47">
        <v>10052</v>
      </c>
      <c r="B24" s="47" t="s">
        <v>34</v>
      </c>
      <c r="C24" s="51">
        <v>1</v>
      </c>
      <c r="D24" s="52">
        <v>1</v>
      </c>
      <c r="E24" s="47" t="s">
        <v>184</v>
      </c>
      <c r="F24" s="47" t="s">
        <v>168</v>
      </c>
      <c r="G24" s="47" t="s">
        <v>50</v>
      </c>
      <c r="H24" s="47" t="s">
        <v>31</v>
      </c>
      <c r="I24" s="47" t="s">
        <v>137</v>
      </c>
      <c r="J24" s="47" t="s">
        <v>185</v>
      </c>
      <c r="K24" s="47" t="s">
        <v>136</v>
      </c>
    </row>
    <row r="25" spans="1:11" ht="16">
      <c r="A25" s="47">
        <v>10053</v>
      </c>
      <c r="B25" s="47" t="s">
        <v>34</v>
      </c>
      <c r="C25" s="51">
        <v>2</v>
      </c>
      <c r="D25" s="52">
        <v>1</v>
      </c>
      <c r="E25" s="47" t="s">
        <v>184</v>
      </c>
      <c r="F25" s="47" t="s">
        <v>168</v>
      </c>
      <c r="G25" s="47" t="s">
        <v>50</v>
      </c>
      <c r="H25" s="47" t="s">
        <v>172</v>
      </c>
      <c r="I25" s="47" t="s">
        <v>137</v>
      </c>
      <c r="J25" s="47" t="s">
        <v>185</v>
      </c>
      <c r="K25" s="47" t="s">
        <v>136</v>
      </c>
    </row>
    <row r="26" spans="1:11" ht="16">
      <c r="A26" s="47">
        <v>10054</v>
      </c>
      <c r="B26" s="47" t="s">
        <v>34</v>
      </c>
      <c r="C26" s="51" t="s">
        <v>177</v>
      </c>
      <c r="D26" s="52" t="s">
        <v>178</v>
      </c>
      <c r="E26" s="47" t="s">
        <v>184</v>
      </c>
      <c r="F26" s="47" t="s">
        <v>179</v>
      </c>
      <c r="G26" s="47" t="s">
        <v>41</v>
      </c>
      <c r="H26" s="47" t="s">
        <v>62</v>
      </c>
      <c r="I26" s="47" t="s">
        <v>169</v>
      </c>
      <c r="J26" s="47" t="s">
        <v>186</v>
      </c>
      <c r="K26" s="47" t="s">
        <v>139</v>
      </c>
    </row>
    <row r="27" spans="1:11" ht="16">
      <c r="A27" s="47">
        <v>10055</v>
      </c>
      <c r="B27" s="47" t="s">
        <v>39</v>
      </c>
      <c r="C27" s="51">
        <v>1</v>
      </c>
      <c r="D27" s="52">
        <v>1</v>
      </c>
      <c r="E27" s="47" t="s">
        <v>187</v>
      </c>
      <c r="F27" s="47" t="s">
        <v>168</v>
      </c>
      <c r="G27" s="47" t="s">
        <v>35</v>
      </c>
      <c r="H27" s="47" t="s">
        <v>172</v>
      </c>
      <c r="I27" s="47" t="s">
        <v>162</v>
      </c>
      <c r="J27" s="47" t="s">
        <v>170</v>
      </c>
      <c r="K27" s="47" t="s">
        <v>136</v>
      </c>
    </row>
    <row r="28" spans="1:11" ht="16">
      <c r="A28" s="47">
        <v>10056</v>
      </c>
      <c r="B28" s="47" t="s">
        <v>39</v>
      </c>
      <c r="C28" s="51">
        <v>2</v>
      </c>
      <c r="D28" s="52">
        <v>1</v>
      </c>
      <c r="E28" s="47" t="s">
        <v>187</v>
      </c>
      <c r="F28" s="47" t="s">
        <v>168</v>
      </c>
      <c r="G28" s="47" t="s">
        <v>50</v>
      </c>
      <c r="H28" s="47" t="s">
        <v>172</v>
      </c>
      <c r="I28" s="47" t="s">
        <v>162</v>
      </c>
      <c r="J28" s="47" t="s">
        <v>170</v>
      </c>
      <c r="K28" s="47" t="s">
        <v>136</v>
      </c>
    </row>
    <row r="29" spans="1:11" ht="16">
      <c r="A29" s="47">
        <v>10057</v>
      </c>
      <c r="B29" s="47" t="s">
        <v>39</v>
      </c>
      <c r="C29" s="51">
        <v>3</v>
      </c>
      <c r="D29" s="52">
        <v>1</v>
      </c>
      <c r="E29" s="47" t="s">
        <v>187</v>
      </c>
      <c r="F29" s="47" t="s">
        <v>168</v>
      </c>
      <c r="G29" s="47" t="s">
        <v>35</v>
      </c>
      <c r="H29" s="47" t="s">
        <v>40</v>
      </c>
      <c r="I29" s="47" t="s">
        <v>162</v>
      </c>
      <c r="J29" s="47" t="s">
        <v>170</v>
      </c>
      <c r="K29" s="47" t="s">
        <v>136</v>
      </c>
    </row>
    <row r="30" spans="1:11" ht="16">
      <c r="A30" s="47">
        <v>10058</v>
      </c>
      <c r="B30" s="47" t="s">
        <v>44</v>
      </c>
      <c r="C30" s="51">
        <v>1</v>
      </c>
      <c r="D30" s="52">
        <v>1</v>
      </c>
      <c r="E30" s="47" t="s">
        <v>188</v>
      </c>
      <c r="F30" s="47" t="s">
        <v>168</v>
      </c>
      <c r="G30" s="47" t="s">
        <v>35</v>
      </c>
      <c r="H30" s="47" t="s">
        <v>40</v>
      </c>
      <c r="I30" s="47" t="s">
        <v>189</v>
      </c>
      <c r="J30" s="47" t="s">
        <v>156</v>
      </c>
      <c r="K30" s="47" t="s">
        <v>136</v>
      </c>
    </row>
    <row r="31" spans="1:11" ht="16">
      <c r="A31" s="47">
        <v>10059</v>
      </c>
      <c r="B31" s="47" t="s">
        <v>44</v>
      </c>
      <c r="C31" s="51">
        <v>2</v>
      </c>
      <c r="D31" s="52">
        <v>1</v>
      </c>
      <c r="E31" s="47" t="s">
        <v>188</v>
      </c>
      <c r="F31" s="47" t="s">
        <v>168</v>
      </c>
      <c r="G31" s="47" t="s">
        <v>50</v>
      </c>
      <c r="H31" s="47" t="s">
        <v>40</v>
      </c>
      <c r="I31" s="47" t="s">
        <v>182</v>
      </c>
      <c r="J31" s="47" t="s">
        <v>190</v>
      </c>
      <c r="K31" s="47" t="s">
        <v>136</v>
      </c>
    </row>
    <row r="32" spans="1:11" ht="16">
      <c r="A32" s="47">
        <v>10060</v>
      </c>
      <c r="B32" s="47" t="s">
        <v>49</v>
      </c>
      <c r="C32" s="51">
        <v>1</v>
      </c>
      <c r="D32" s="52">
        <v>1</v>
      </c>
      <c r="E32" s="47" t="s">
        <v>191</v>
      </c>
      <c r="F32" s="47" t="s">
        <v>168</v>
      </c>
      <c r="G32" s="47" t="s">
        <v>50</v>
      </c>
      <c r="H32" s="47" t="s">
        <v>172</v>
      </c>
      <c r="I32" s="47" t="s">
        <v>192</v>
      </c>
      <c r="J32" s="47" t="s">
        <v>193</v>
      </c>
      <c r="K32" s="47" t="s">
        <v>136</v>
      </c>
    </row>
    <row r="33" spans="1:11" ht="16">
      <c r="A33" s="47">
        <v>10936</v>
      </c>
      <c r="B33" s="47" t="s">
        <v>49</v>
      </c>
      <c r="C33" s="51">
        <v>2</v>
      </c>
      <c r="D33" s="52">
        <v>1</v>
      </c>
      <c r="E33" s="47" t="s">
        <v>194</v>
      </c>
      <c r="F33" s="47" t="s">
        <v>168</v>
      </c>
      <c r="G33" s="47" t="s">
        <v>30</v>
      </c>
      <c r="H33" s="47" t="s">
        <v>51</v>
      </c>
      <c r="I33" s="47" t="s">
        <v>162</v>
      </c>
      <c r="J33" s="47" t="s">
        <v>195</v>
      </c>
      <c r="K33" s="47" t="s">
        <v>136</v>
      </c>
    </row>
    <row r="34" spans="1:11" ht="16">
      <c r="A34" s="47">
        <v>10937</v>
      </c>
      <c r="B34" s="47" t="s">
        <v>49</v>
      </c>
      <c r="C34" s="51">
        <v>3</v>
      </c>
      <c r="D34" s="52">
        <v>1</v>
      </c>
      <c r="E34" s="47" t="s">
        <v>194</v>
      </c>
      <c r="F34" s="47" t="s">
        <v>168</v>
      </c>
      <c r="G34" s="47" t="s">
        <v>30</v>
      </c>
      <c r="H34" s="47" t="s">
        <v>55</v>
      </c>
      <c r="I34" s="47" t="s">
        <v>196</v>
      </c>
      <c r="J34" s="47" t="s">
        <v>195</v>
      </c>
      <c r="K34" s="47" t="s">
        <v>136</v>
      </c>
    </row>
    <row r="35" spans="1:11" ht="16">
      <c r="A35" s="47">
        <v>10061</v>
      </c>
      <c r="B35" s="47" t="s">
        <v>54</v>
      </c>
      <c r="C35" s="51">
        <v>1</v>
      </c>
      <c r="D35" s="52">
        <v>1</v>
      </c>
      <c r="E35" s="47" t="s">
        <v>197</v>
      </c>
      <c r="F35" s="47" t="s">
        <v>168</v>
      </c>
      <c r="G35" s="47" t="s">
        <v>41</v>
      </c>
      <c r="H35" s="47" t="s">
        <v>198</v>
      </c>
      <c r="I35" s="47" t="s">
        <v>162</v>
      </c>
      <c r="J35" s="47" t="s">
        <v>149</v>
      </c>
      <c r="K35" s="47" t="s">
        <v>136</v>
      </c>
    </row>
    <row r="36" spans="1:11" ht="16">
      <c r="A36" s="47">
        <v>10062</v>
      </c>
      <c r="B36" s="47" t="s">
        <v>199</v>
      </c>
      <c r="C36" s="51">
        <v>2</v>
      </c>
      <c r="D36" s="52">
        <v>1</v>
      </c>
      <c r="E36" s="47" t="s">
        <v>197</v>
      </c>
      <c r="F36" s="47" t="s">
        <v>168</v>
      </c>
      <c r="G36" s="47" t="s">
        <v>35</v>
      </c>
      <c r="H36" s="47" t="s">
        <v>46</v>
      </c>
      <c r="I36" s="47" t="s">
        <v>162</v>
      </c>
      <c r="J36" s="47" t="s">
        <v>149</v>
      </c>
      <c r="K36" s="47" t="s">
        <v>136</v>
      </c>
    </row>
    <row r="37" spans="1:11" ht="16">
      <c r="A37" s="47">
        <v>10063</v>
      </c>
      <c r="B37" s="47" t="s">
        <v>54</v>
      </c>
      <c r="C37" s="51" t="s">
        <v>177</v>
      </c>
      <c r="D37" s="52" t="s">
        <v>178</v>
      </c>
      <c r="E37" s="47" t="s">
        <v>197</v>
      </c>
      <c r="F37" s="47" t="s">
        <v>179</v>
      </c>
      <c r="G37" s="47" t="s">
        <v>32</v>
      </c>
      <c r="H37" s="47" t="s">
        <v>62</v>
      </c>
      <c r="I37" s="47" t="s">
        <v>200</v>
      </c>
      <c r="J37" s="47" t="s">
        <v>193</v>
      </c>
      <c r="K37" s="47" t="s">
        <v>136</v>
      </c>
    </row>
    <row r="38" spans="1:11" ht="16">
      <c r="A38" s="47">
        <v>10064</v>
      </c>
      <c r="B38" s="47" t="s">
        <v>201</v>
      </c>
      <c r="C38" s="51">
        <v>1</v>
      </c>
      <c r="D38" s="52">
        <v>1</v>
      </c>
      <c r="E38" s="47" t="s">
        <v>202</v>
      </c>
      <c r="F38" s="47" t="s">
        <v>168</v>
      </c>
      <c r="G38" s="47" t="s">
        <v>37</v>
      </c>
      <c r="H38" s="47" t="s">
        <v>36</v>
      </c>
      <c r="I38" s="47" t="s">
        <v>162</v>
      </c>
      <c r="J38" s="47" t="s">
        <v>203</v>
      </c>
      <c r="K38" s="47" t="s">
        <v>136</v>
      </c>
    </row>
    <row r="39" spans="1:11" ht="16">
      <c r="A39" s="47">
        <v>10065</v>
      </c>
      <c r="B39" s="47" t="s">
        <v>57</v>
      </c>
      <c r="C39" s="51" t="s">
        <v>177</v>
      </c>
      <c r="D39" s="52" t="s">
        <v>178</v>
      </c>
      <c r="E39" s="47" t="s">
        <v>202</v>
      </c>
      <c r="F39" s="47" t="s">
        <v>179</v>
      </c>
      <c r="G39" s="47" t="s">
        <v>37</v>
      </c>
      <c r="H39" s="47" t="s">
        <v>62</v>
      </c>
      <c r="I39" s="47" t="s">
        <v>192</v>
      </c>
      <c r="J39" s="47" t="s">
        <v>203</v>
      </c>
      <c r="K39" s="47" t="s">
        <v>136</v>
      </c>
    </row>
    <row r="40" spans="1:11" ht="16">
      <c r="A40" s="47">
        <v>10067</v>
      </c>
      <c r="B40" s="47" t="s">
        <v>61</v>
      </c>
      <c r="C40" s="51">
        <v>1</v>
      </c>
      <c r="D40" s="52">
        <v>1</v>
      </c>
      <c r="E40" s="47" t="s">
        <v>204</v>
      </c>
      <c r="F40" s="47" t="s">
        <v>168</v>
      </c>
      <c r="G40" s="47" t="s">
        <v>50</v>
      </c>
      <c r="H40" s="47" t="s">
        <v>31</v>
      </c>
      <c r="I40" s="47" t="s">
        <v>134</v>
      </c>
      <c r="J40" s="47" t="s">
        <v>190</v>
      </c>
      <c r="K40" s="47" t="s">
        <v>136</v>
      </c>
    </row>
    <row r="41" spans="1:11" ht="16">
      <c r="A41" s="47">
        <v>10068</v>
      </c>
      <c r="B41" s="47" t="s">
        <v>65</v>
      </c>
      <c r="C41" s="51">
        <v>1</v>
      </c>
      <c r="D41" s="52">
        <v>1</v>
      </c>
      <c r="E41" s="47" t="s">
        <v>205</v>
      </c>
      <c r="F41" s="47" t="s">
        <v>168</v>
      </c>
      <c r="G41" s="47" t="s">
        <v>45</v>
      </c>
      <c r="H41" s="47" t="s">
        <v>55</v>
      </c>
      <c r="I41" s="47" t="s">
        <v>162</v>
      </c>
      <c r="J41" s="47" t="s">
        <v>166</v>
      </c>
      <c r="K41" s="47" t="s">
        <v>136</v>
      </c>
    </row>
    <row r="42" spans="1:11" ht="16">
      <c r="A42" s="47">
        <v>10069</v>
      </c>
      <c r="B42" s="47" t="s">
        <v>206</v>
      </c>
      <c r="C42" s="51">
        <v>1</v>
      </c>
      <c r="D42" s="52">
        <v>1</v>
      </c>
      <c r="E42" s="47" t="s">
        <v>207</v>
      </c>
      <c r="F42" s="47" t="s">
        <v>168</v>
      </c>
      <c r="G42" s="47" t="s">
        <v>30</v>
      </c>
      <c r="H42" s="47" t="s">
        <v>23</v>
      </c>
      <c r="I42" s="47" t="s">
        <v>137</v>
      </c>
      <c r="J42" s="47" t="s">
        <v>208</v>
      </c>
      <c r="K42" s="47" t="s">
        <v>139</v>
      </c>
    </row>
    <row r="43" spans="1:11" ht="16">
      <c r="A43" s="47">
        <v>10071</v>
      </c>
      <c r="B43" s="47" t="s">
        <v>206</v>
      </c>
      <c r="C43" s="51">
        <v>3</v>
      </c>
      <c r="D43" s="52">
        <v>1</v>
      </c>
      <c r="E43" s="47" t="s">
        <v>207</v>
      </c>
      <c r="F43" s="47" t="s">
        <v>168</v>
      </c>
      <c r="G43" s="47" t="s">
        <v>30</v>
      </c>
      <c r="H43" s="47" t="s">
        <v>31</v>
      </c>
      <c r="I43" s="47" t="s">
        <v>182</v>
      </c>
      <c r="J43" s="47" t="s">
        <v>209</v>
      </c>
      <c r="K43" s="53" t="s">
        <v>27</v>
      </c>
    </row>
    <row r="44" spans="1:11" ht="16">
      <c r="A44" s="47">
        <v>10072</v>
      </c>
      <c r="B44" s="47" t="s">
        <v>206</v>
      </c>
      <c r="C44" s="51">
        <v>4</v>
      </c>
      <c r="D44" s="52">
        <v>1</v>
      </c>
      <c r="E44" s="47" t="s">
        <v>207</v>
      </c>
      <c r="F44" s="47" t="s">
        <v>168</v>
      </c>
      <c r="G44" s="47" t="s">
        <v>50</v>
      </c>
      <c r="H44" s="47" t="s">
        <v>31</v>
      </c>
      <c r="I44" s="47" t="s">
        <v>182</v>
      </c>
      <c r="J44" s="47" t="s">
        <v>210</v>
      </c>
      <c r="K44" s="47" t="s">
        <v>139</v>
      </c>
    </row>
    <row r="45" spans="1:11" ht="16">
      <c r="A45" s="47">
        <v>10073</v>
      </c>
      <c r="B45" s="47" t="s">
        <v>206</v>
      </c>
      <c r="C45" s="51">
        <v>5</v>
      </c>
      <c r="D45" s="52">
        <v>1</v>
      </c>
      <c r="E45" s="47" t="s">
        <v>207</v>
      </c>
      <c r="F45" s="47" t="s">
        <v>168</v>
      </c>
      <c r="G45" s="47" t="s">
        <v>50</v>
      </c>
      <c r="H45" s="47" t="s">
        <v>172</v>
      </c>
      <c r="I45" s="47" t="s">
        <v>211</v>
      </c>
      <c r="J45" s="47" t="s">
        <v>212</v>
      </c>
      <c r="K45" s="47" t="s">
        <v>139</v>
      </c>
    </row>
    <row r="46" spans="1:11" ht="16">
      <c r="A46" s="47">
        <v>10074</v>
      </c>
      <c r="B46" s="47" t="s">
        <v>206</v>
      </c>
      <c r="C46" s="51">
        <v>6</v>
      </c>
      <c r="D46" s="52">
        <v>1</v>
      </c>
      <c r="E46" s="47" t="s">
        <v>207</v>
      </c>
      <c r="F46" s="47" t="s">
        <v>168</v>
      </c>
      <c r="G46" s="47" t="s">
        <v>50</v>
      </c>
      <c r="H46" s="47" t="s">
        <v>40</v>
      </c>
      <c r="I46" s="47" t="s">
        <v>211</v>
      </c>
      <c r="J46" s="47" t="s">
        <v>212</v>
      </c>
      <c r="K46" s="47" t="s">
        <v>139</v>
      </c>
    </row>
    <row r="47" spans="1:11" ht="16">
      <c r="A47" s="47">
        <v>10075</v>
      </c>
      <c r="B47" s="47" t="s">
        <v>206</v>
      </c>
      <c r="C47" s="51">
        <v>7</v>
      </c>
      <c r="D47" s="52">
        <v>1</v>
      </c>
      <c r="E47" s="47" t="s">
        <v>207</v>
      </c>
      <c r="F47" s="47" t="s">
        <v>168</v>
      </c>
      <c r="G47" s="47" t="s">
        <v>35</v>
      </c>
      <c r="H47" s="47" t="s">
        <v>46</v>
      </c>
      <c r="I47" s="47" t="s">
        <v>134</v>
      </c>
      <c r="J47" s="47" t="s">
        <v>213</v>
      </c>
      <c r="K47" s="47" t="s">
        <v>136</v>
      </c>
    </row>
    <row r="48" spans="1:11" ht="16">
      <c r="A48" s="47">
        <v>10076</v>
      </c>
      <c r="B48" s="47" t="s">
        <v>21</v>
      </c>
      <c r="C48" s="51">
        <v>8</v>
      </c>
      <c r="D48" s="52">
        <v>1</v>
      </c>
      <c r="E48" s="47" t="s">
        <v>207</v>
      </c>
      <c r="F48" s="47" t="s">
        <v>168</v>
      </c>
      <c r="G48" s="47" t="s">
        <v>30</v>
      </c>
      <c r="H48" s="47" t="s">
        <v>51</v>
      </c>
      <c r="I48" s="47" t="s">
        <v>155</v>
      </c>
      <c r="J48" s="47" t="s">
        <v>210</v>
      </c>
      <c r="K48" s="47" t="s">
        <v>139</v>
      </c>
    </row>
    <row r="49" spans="1:11" ht="16">
      <c r="A49" s="47">
        <v>10077</v>
      </c>
      <c r="B49" s="47" t="s">
        <v>206</v>
      </c>
      <c r="C49" s="51">
        <v>9</v>
      </c>
      <c r="D49" s="52">
        <v>1</v>
      </c>
      <c r="E49" s="47" t="s">
        <v>207</v>
      </c>
      <c r="F49" s="47" t="s">
        <v>168</v>
      </c>
      <c r="G49" s="47" t="s">
        <v>45</v>
      </c>
      <c r="H49" s="47" t="s">
        <v>51</v>
      </c>
      <c r="I49" s="47" t="s">
        <v>134</v>
      </c>
      <c r="J49" s="47" t="s">
        <v>213</v>
      </c>
      <c r="K49" s="47" t="s">
        <v>87</v>
      </c>
    </row>
    <row r="50" spans="1:11" ht="16">
      <c r="A50" s="47">
        <v>10078</v>
      </c>
      <c r="B50" s="47" t="s">
        <v>206</v>
      </c>
      <c r="C50" s="51">
        <v>10</v>
      </c>
      <c r="D50" s="52">
        <v>1</v>
      </c>
      <c r="E50" s="47" t="s">
        <v>207</v>
      </c>
      <c r="F50" s="47" t="s">
        <v>168</v>
      </c>
      <c r="G50" s="47" t="s">
        <v>30</v>
      </c>
      <c r="H50" s="47" t="s">
        <v>55</v>
      </c>
      <c r="I50" s="47" t="s">
        <v>182</v>
      </c>
      <c r="J50" s="47" t="s">
        <v>214</v>
      </c>
      <c r="K50" s="47" t="s">
        <v>27</v>
      </c>
    </row>
    <row r="51" spans="1:11" ht="16">
      <c r="A51" s="47">
        <v>10079</v>
      </c>
      <c r="B51" s="47" t="s">
        <v>206</v>
      </c>
      <c r="C51" s="51" t="s">
        <v>177</v>
      </c>
      <c r="D51" s="52">
        <v>1</v>
      </c>
      <c r="E51" s="47" t="s">
        <v>207</v>
      </c>
      <c r="F51" s="47" t="s">
        <v>179</v>
      </c>
      <c r="G51" s="47" t="s">
        <v>22</v>
      </c>
      <c r="H51" s="47" t="s">
        <v>62</v>
      </c>
      <c r="I51" s="47" t="s">
        <v>211</v>
      </c>
      <c r="J51" s="47" t="s">
        <v>215</v>
      </c>
      <c r="K51" s="47" t="s">
        <v>139</v>
      </c>
    </row>
    <row r="52" spans="1:11" ht="16">
      <c r="A52" s="47">
        <v>10080</v>
      </c>
      <c r="B52" s="47" t="s">
        <v>206</v>
      </c>
      <c r="C52" s="51" t="s">
        <v>216</v>
      </c>
      <c r="D52" s="52">
        <v>1</v>
      </c>
      <c r="E52" s="47" t="s">
        <v>217</v>
      </c>
      <c r="F52" s="47" t="s">
        <v>168</v>
      </c>
      <c r="G52" s="47" t="s">
        <v>30</v>
      </c>
      <c r="H52" s="47" t="s">
        <v>31</v>
      </c>
      <c r="I52" s="47" t="s">
        <v>162</v>
      </c>
      <c r="J52" s="47" t="s">
        <v>195</v>
      </c>
      <c r="K52" s="47" t="s">
        <v>136</v>
      </c>
    </row>
    <row r="53" spans="1:11" ht="16">
      <c r="A53" s="47">
        <v>10081</v>
      </c>
      <c r="B53" s="47" t="s">
        <v>206</v>
      </c>
      <c r="C53" s="51" t="s">
        <v>218</v>
      </c>
      <c r="D53" s="52">
        <v>1</v>
      </c>
      <c r="E53" s="47" t="s">
        <v>207</v>
      </c>
      <c r="F53" s="47" t="s">
        <v>168</v>
      </c>
      <c r="G53" s="47" t="s">
        <v>35</v>
      </c>
      <c r="H53" s="47" t="s">
        <v>172</v>
      </c>
      <c r="I53" s="47" t="s">
        <v>134</v>
      </c>
      <c r="J53" s="47" t="s">
        <v>213</v>
      </c>
      <c r="K53" s="47" t="s">
        <v>136</v>
      </c>
    </row>
    <row r="54" spans="1:11" ht="16">
      <c r="A54" s="47">
        <v>10082</v>
      </c>
      <c r="B54" s="47" t="s">
        <v>206</v>
      </c>
      <c r="C54" s="51" t="s">
        <v>219</v>
      </c>
      <c r="D54" s="52">
        <v>1</v>
      </c>
      <c r="E54" s="47" t="s">
        <v>207</v>
      </c>
      <c r="F54" s="47" t="s">
        <v>168</v>
      </c>
      <c r="G54" s="47" t="s">
        <v>30</v>
      </c>
      <c r="H54" s="47" t="s">
        <v>51</v>
      </c>
      <c r="I54" s="47" t="s">
        <v>134</v>
      </c>
      <c r="J54" s="47" t="s">
        <v>213</v>
      </c>
      <c r="K54" s="47" t="s">
        <v>136</v>
      </c>
    </row>
    <row r="55" spans="1:11" ht="16">
      <c r="A55" s="47"/>
      <c r="B55" s="47"/>
      <c r="C55" s="47"/>
      <c r="D55" s="52"/>
      <c r="E55" s="54"/>
      <c r="F55" s="54"/>
      <c r="G55" s="47"/>
      <c r="H55" s="47"/>
      <c r="I55" s="47"/>
      <c r="J55" s="47"/>
    </row>
    <row r="56" spans="1:11" ht="18">
      <c r="A56" s="55"/>
      <c r="D56" s="56"/>
    </row>
    <row r="57" spans="1:11" ht="18">
      <c r="A57" s="57" t="s">
        <v>220</v>
      </c>
      <c r="C57" s="52"/>
      <c r="D57" s="56"/>
    </row>
    <row r="58" spans="1:11">
      <c r="C58" s="52"/>
    </row>
    <row r="59" spans="1:11">
      <c r="C59" s="52"/>
    </row>
    <row r="60" spans="1:11">
      <c r="C60" s="52"/>
    </row>
    <row r="61" spans="1:11">
      <c r="C61" s="52"/>
    </row>
    <row r="62" spans="1:11">
      <c r="C62" s="52"/>
    </row>
    <row r="63" spans="1:11">
      <c r="C63" s="52"/>
    </row>
    <row r="64" spans="1:11">
      <c r="C64" s="52"/>
    </row>
    <row r="65" spans="3:3">
      <c r="C65" s="52"/>
    </row>
    <row r="66" spans="3:3">
      <c r="C66" s="52"/>
    </row>
    <row r="67" spans="3:3">
      <c r="C67" s="52"/>
    </row>
    <row r="68" spans="3:3">
      <c r="C68" s="52"/>
    </row>
    <row r="69" spans="3:3">
      <c r="C69" s="52"/>
    </row>
    <row r="70" spans="3:3">
      <c r="C70" s="52"/>
    </row>
    <row r="71" spans="3:3">
      <c r="C71" s="52"/>
    </row>
    <row r="72" spans="3:3">
      <c r="C72" s="52"/>
    </row>
    <row r="73" spans="3:3">
      <c r="C73" s="52"/>
    </row>
    <row r="74" spans="3:3">
      <c r="C74" s="52"/>
    </row>
    <row r="75" spans="3:3">
      <c r="C75" s="52"/>
    </row>
    <row r="76" spans="3:3">
      <c r="C76" s="52"/>
    </row>
    <row r="77" spans="3:3">
      <c r="C77" s="52"/>
    </row>
    <row r="78" spans="3:3">
      <c r="C78" s="52"/>
    </row>
    <row r="79" spans="3:3">
      <c r="C79" s="52"/>
    </row>
    <row r="80" spans="3:3">
      <c r="C80" s="52"/>
    </row>
    <row r="81" spans="3:3">
      <c r="C81" s="52"/>
    </row>
    <row r="82" spans="3:3">
      <c r="C82" s="52"/>
    </row>
    <row r="83" spans="3:3">
      <c r="C83" s="52"/>
    </row>
    <row r="84" spans="3:3">
      <c r="C84" s="52"/>
    </row>
    <row r="85" spans="3:3">
      <c r="C85" s="52"/>
    </row>
    <row r="86" spans="3:3">
      <c r="C86" s="52"/>
    </row>
    <row r="87" spans="3:3">
      <c r="C87" s="52"/>
    </row>
    <row r="88" spans="3:3">
      <c r="C88" s="52"/>
    </row>
    <row r="89" spans="3:3">
      <c r="C89" s="52"/>
    </row>
    <row r="90" spans="3:3">
      <c r="C90" s="52"/>
    </row>
    <row r="91" spans="3:3">
      <c r="C91" s="52"/>
    </row>
    <row r="92" spans="3:3">
      <c r="C92" s="52"/>
    </row>
    <row r="93" spans="3:3">
      <c r="C93" s="52"/>
    </row>
    <row r="94" spans="3:3">
      <c r="C94" s="52"/>
    </row>
    <row r="95" spans="3:3">
      <c r="C95" s="52"/>
    </row>
    <row r="96" spans="3:3">
      <c r="C96" s="52"/>
    </row>
    <row r="97" spans="3:3">
      <c r="C97" s="52"/>
    </row>
  </sheetData>
  <hyperlinks>
    <hyperlink ref="E2" r:id="rId1" tooltip="Grad Full term" display="javascript:void(0)"/>
    <hyperlink ref="D54" r:id="rId2" tooltip="UG Full term" display="javascript:void(0)"/>
    <hyperlink ref="D53" r:id="rId3" tooltip="UG Full term" display="javascript:void(0)"/>
    <hyperlink ref="D52" r:id="rId4" tooltip="UG Full term" display="javascript:void(0)"/>
    <hyperlink ref="D51" r:id="rId5" tooltip="UG Full term" display="javascript:void(0)"/>
    <hyperlink ref="D50" r:id="rId6" tooltip="UG Full term" display="javascript:void(0)"/>
    <hyperlink ref="D49" r:id="rId7" tooltip="UG Full term" display="javascript:void(0)"/>
    <hyperlink ref="D48" r:id="rId8" tooltip="UG Full term" display="javascript:void(0)"/>
    <hyperlink ref="D47" r:id="rId9" tooltip="UG Full term" display="javascript:void(0)"/>
    <hyperlink ref="D46" r:id="rId10" tooltip="UG Full term" display="javascript:void(0)"/>
    <hyperlink ref="D45" r:id="rId11" tooltip="UG Full term" display="javascript:void(0)"/>
    <hyperlink ref="D44" r:id="rId12" tooltip="UG Full term" display="javascript:void(0)"/>
    <hyperlink ref="D43" r:id="rId13" tooltip="UG Full term" display="javascript:void(0)"/>
    <hyperlink ref="D42" r:id="rId14" tooltip="UG Full term" display="javascript:void(0)"/>
    <hyperlink ref="D41" r:id="rId15" tooltip="UG Full term" display="javascript:void(0)"/>
    <hyperlink ref="D40" r:id="rId16" tooltip="UG Full term" display="javascript:void(0)"/>
    <hyperlink ref="D39" r:id="rId17" tooltip="Full Term Eve" display="javascript:void(0)"/>
    <hyperlink ref="D37" r:id="rId18" tooltip="Full Term Eve" display="javascript:void(0)"/>
    <hyperlink ref="D36" r:id="rId19" tooltip="UG Full term" display="javascript:void(0)"/>
    <hyperlink ref="D35" r:id="rId20" tooltip="UG Full term" display="javascript:void(0)"/>
    <hyperlink ref="D34" r:id="rId21" tooltip="UG Full term" display="javascript:void(0)"/>
    <hyperlink ref="D33" r:id="rId22" tooltip="UG Full term" display="javascript:void(0)"/>
    <hyperlink ref="D32" r:id="rId23" tooltip="UG Full term" display="javascript:void(0)"/>
    <hyperlink ref="D31" r:id="rId24" tooltip="UG Full term" display="javascript:void(0)"/>
    <hyperlink ref="D30" r:id="rId25" tooltip="UG Full term" display="javascript:void(0)"/>
    <hyperlink ref="D29" r:id="rId26" tooltip="UG Full term" display="javascript:void(0)"/>
    <hyperlink ref="D28" r:id="rId27" tooltip="UG Full term" display="javascript:void(0)"/>
    <hyperlink ref="D27" r:id="rId28" tooltip="UG Full term" display="javascript:void(0)"/>
    <hyperlink ref="D26" r:id="rId29" tooltip="Full Term Eve" display="javascript:void(0)"/>
    <hyperlink ref="D25" r:id="rId30" tooltip="UG Full term" display="javascript:void(0)"/>
    <hyperlink ref="D24" r:id="rId31" tooltip="UG Full term" display="javascript:void(0)"/>
    <hyperlink ref="D23" r:id="rId32" tooltip="Full Term Eve" display="javascript:void(0)"/>
    <hyperlink ref="D22" r:id="rId33" tooltip="Full Term Eve" display="javascript:void(0)"/>
    <hyperlink ref="D21" r:id="rId34" tooltip="UG Full term" display="javascript:void(0)"/>
    <hyperlink ref="D20" r:id="rId35" tooltip="UG Full term" display="javascript:void(0)"/>
    <hyperlink ref="D19" r:id="rId36" tooltip="UG Full term" display="javascript:void(0)"/>
    <hyperlink ref="D18" r:id="rId37" tooltip="UG Full term" display="javascript:void(0)"/>
    <hyperlink ref="D17" r:id="rId38" tooltip="UG Full term" display="javascript:void(0)"/>
    <hyperlink ref="D16" r:id="rId39" tooltip="UG Full term" display="javascript:void(0)"/>
    <hyperlink ref="D15" r:id="rId40" tooltip="UG Full term" display="javascript:void(0)"/>
    <hyperlink ref="D14" r:id="rId41" tooltip="UG Full term" display="javascript:void(0)"/>
    <hyperlink ref="D38" r:id="rId42" tooltip="UG Full term" display="javascript:void(0)"/>
    <hyperlink ref="C8" r:id="rId43" tooltip="Grad Full term" display="javascript:void(0)"/>
    <hyperlink ref="C10" r:id="rId44" tooltip="Grad Full term" display="javascript:void(0)"/>
    <hyperlink ref="C11" r:id="rId45" tooltip="Grad Full term" display="javascript:void(0)"/>
    <hyperlink ref="C12" r:id="rId46" tooltip="Grad Full term" display="javascript:void(0)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</vt:i4>
      </vt:variant>
    </vt:vector>
  </HeadingPairs>
  <TitlesOfParts>
    <vt:vector size="7" baseType="lpstr">
      <vt:lpstr>MasterSheet</vt:lpstr>
      <vt:lpstr>Course Reference</vt:lpstr>
      <vt:lpstr>Course Catalogue</vt:lpstr>
      <vt:lpstr>CourseList</vt:lpstr>
      <vt:lpstr>Days</vt:lpstr>
      <vt:lpstr>Name</vt:lpstr>
      <vt:lpstr>Times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Miller</dc:creator>
  <cp:lastModifiedBy>Jason Perfetto</cp:lastModifiedBy>
  <dcterms:created xsi:type="dcterms:W3CDTF">2018-02-15T16:20:01Z</dcterms:created>
  <dcterms:modified xsi:type="dcterms:W3CDTF">2018-02-19T00:47:02Z</dcterms:modified>
</cp:coreProperties>
</file>