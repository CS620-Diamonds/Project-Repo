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sheshanna/Desktop/"/>
    </mc:Choice>
  </mc:AlternateContent>
  <bookViews>
    <workbookView xWindow="7760" yWindow="460" windowWidth="26500" windowHeight="14300" activeTab="5"/>
  </bookViews>
  <sheets>
    <sheet name="Sheet1" sheetId="1" r:id="rId1"/>
    <sheet name="Faculity" sheetId="2" r:id="rId2"/>
    <sheet name="Courses" sheetId="3" r:id="rId3"/>
    <sheet name="Sheet2" sheetId="5" r:id="rId4"/>
    <sheet name="Sheet4" sheetId="7" r:id="rId5"/>
    <sheet name="MasterSheet" sheetId="6" r:id="rId6"/>
  </sheets>
  <functionGroups builtInGroupCount="19"/>
  <definedNames>
    <definedName name="CourseList">MasterSheet!$J$2:$J$19</definedName>
    <definedName name="Days">MasterSheet!$K$2:$K$9</definedName>
    <definedName name="InputRange" localSheetId="0">OFFSET(Sheet1!$A$2,0,0,COUNTA(Sheet1!$A:$A)-1,1)</definedName>
    <definedName name="Name">MasterSheet!$I$2:$I$37</definedName>
    <definedName name="ProfessorClass">MasterSheet!$P$26:$P$69</definedName>
    <definedName name="ProfFullTime">MasterSheet!$F$2,MasterSheet!$F$6,MasterSheet!$F$7,MasterSheet!$F$11,MasterSheet!$F$13,MasterSheet!$F$15,MasterSheet!$F$16,MasterSheet!$F$17,MasterSheet!$F$18,MasterSheet!$F$25,MasterSheet!$F$26,MasterSheet!$F$30,MasterSheet!$F$33,MasterSheet!$F$35,MasterSheet!$F$36,MasterSheet!$F$37</definedName>
    <definedName name="ProfFullTimeUsed">MasterSheet!$H$2,MasterSheet!$H$6,MasterSheet!$H$7,MasterSheet!$H$11,MasterSheet!$H$13,MasterSheet!$H$15,MasterSheet!$H$16,MasterSheet!$H$17,MasterSheet!$H$18,MasterSheet!$H$25,MasterSheet!$H$26,MasterSheet!$H$30,MasterSheet!$H$33,MasterSheet!$H$35,MasterSheet!$H$36,MasterSheet!$H$37</definedName>
    <definedName name="ProfPartTime">MasterSheet!$F$34,MasterSheet!$F$32,MasterSheet!$F$31,MasterSheet!$F$29,MasterSheet!$F$28,MasterSheet!$F$27,MasterSheet!$F$20,MasterSheet!$F$19,MasterSheet!$F$14,MasterSheet!$F$12,MasterSheet!$F$10,MasterSheet!$F$9,MasterSheet!$F$8,MasterSheet!$F$5,MasterSheet!$F$4,MasterSheet!$F$3</definedName>
    <definedName name="ProfPartTimeUsed">MasterSheet!$H$34,MasterSheet!$H$32,MasterSheet!$H$31,MasterSheet!$H$29,MasterSheet!$H$28,MasterSheet!$H$27,MasterSheet!$H$20,MasterSheet!$H$19,MasterSheet!$H$14,MasterSheet!$H$10,MasterSheet!$H$9,MasterSheet!$H$8,MasterSheet!$H$5,MasterSheet!$H$4,MasterSheet!$H$3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MasterSheet!$W$19</definedName>
    <definedName name="solver_typ" localSheetId="5" hidden="1">2</definedName>
    <definedName name="solver_val" localSheetId="5" hidden="1">0</definedName>
    <definedName name="solver_ver" localSheetId="5" hidden="1">3</definedName>
    <definedName name="Times">MasterSheet!$L$2:$L$11</definedName>
    <definedName name="Z_9692233C_0F2E_654E_8AC6_8C4CF1DC23E8_.wvu.Cols" localSheetId="5" hidden="1">MasterSheet!$C:$M,MasterSheet!$T:$AE</definedName>
    <definedName name="Z_9692233C_0F2E_654E_8AC6_8C4CF1DC23E8_.wvu.Rows" localSheetId="5" hidden="1">MasterSheet!$1:$19</definedName>
  </definedNames>
  <calcPr calcId="162913"/>
  <customWorkbookViews>
    <customWorkbookView name="Master View" guid="{F88BE81C-8BBC-CE40-9183-746E883A9C1B}" yWindow="23" windowWidth="1325" windowHeight="715" activeSheetId="6"/>
    <customWorkbookView name="Interface View" guid="{9692233C-0F2E-654E-8AC6-8C4CF1DC23E8}" yWindow="23" windowWidth="1426" windowHeight="811" activeSheetId="6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6" l="1"/>
  <c r="W3" i="6"/>
  <c r="V3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41" i="6"/>
  <c r="AA42" i="6"/>
  <c r="AA43" i="6"/>
  <c r="AA44" i="6"/>
  <c r="AA45" i="6"/>
  <c r="AA46" i="6"/>
  <c r="AA47" i="6"/>
  <c r="AA48" i="6"/>
  <c r="AA49" i="6"/>
  <c r="AA50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26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27" i="6"/>
  <c r="Z28" i="6"/>
  <c r="Z29" i="6"/>
  <c r="Z30" i="6"/>
  <c r="Z31" i="6"/>
  <c r="Z32" i="6"/>
  <c r="Z33" i="6"/>
  <c r="Z34" i="6"/>
  <c r="Z26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AA3" i="6"/>
  <c r="AC33" i="6" l="1"/>
  <c r="AC27" i="6"/>
  <c r="AB44" i="6"/>
  <c r="AB35" i="6"/>
  <c r="AB65" i="6"/>
  <c r="AB30" i="6"/>
  <c r="AB29" i="6"/>
  <c r="AC50" i="6"/>
  <c r="AB53" i="6"/>
  <c r="AC42" i="6"/>
  <c r="AC57" i="6"/>
  <c r="AC32" i="6"/>
  <c r="AB69" i="6"/>
  <c r="AC58" i="6"/>
  <c r="AB68" i="6"/>
  <c r="AB28" i="6"/>
  <c r="AB59" i="6"/>
  <c r="AB27" i="6"/>
  <c r="AB66" i="6"/>
  <c r="AB58" i="6"/>
  <c r="AB50" i="6"/>
  <c r="AB42" i="6"/>
  <c r="AB34" i="6"/>
  <c r="AC26" i="6"/>
  <c r="AC63" i="6"/>
  <c r="AC55" i="6"/>
  <c r="AC47" i="6"/>
  <c r="AC39" i="6"/>
  <c r="AC31" i="6"/>
  <c r="AB45" i="6"/>
  <c r="AB36" i="6"/>
  <c r="AC64" i="6"/>
  <c r="AB57" i="6"/>
  <c r="AB49" i="6"/>
  <c r="AB41" i="6"/>
  <c r="AB33" i="6"/>
  <c r="AC70" i="6"/>
  <c r="AC62" i="6"/>
  <c r="AC54" i="6"/>
  <c r="AC46" i="6"/>
  <c r="AC38" i="6"/>
  <c r="AC30" i="6"/>
  <c r="AB61" i="6"/>
  <c r="AC66" i="6"/>
  <c r="AC34" i="6"/>
  <c r="AB60" i="6"/>
  <c r="AC41" i="6"/>
  <c r="AB51" i="6"/>
  <c r="AC48" i="6"/>
  <c r="AB64" i="6"/>
  <c r="AB56" i="6"/>
  <c r="AB48" i="6"/>
  <c r="AB40" i="6"/>
  <c r="AB32" i="6"/>
  <c r="AC69" i="6"/>
  <c r="AC61" i="6"/>
  <c r="AC53" i="6"/>
  <c r="AC45" i="6"/>
  <c r="AC37" i="6"/>
  <c r="AC29" i="6"/>
  <c r="AB37" i="6"/>
  <c r="AB52" i="6"/>
  <c r="AC49" i="6"/>
  <c r="AB43" i="6"/>
  <c r="AC56" i="6"/>
  <c r="AB26" i="6"/>
  <c r="AB63" i="6"/>
  <c r="AB55" i="6"/>
  <c r="AB47" i="6"/>
  <c r="AB39" i="6"/>
  <c r="AB31" i="6"/>
  <c r="AC68" i="6"/>
  <c r="AC60" i="6"/>
  <c r="AC52" i="6"/>
  <c r="AC44" i="6"/>
  <c r="AC36" i="6"/>
  <c r="AC28" i="6"/>
  <c r="AC65" i="6"/>
  <c r="AB67" i="6"/>
  <c r="AC40" i="6"/>
  <c r="AB70" i="6"/>
  <c r="AB62" i="6"/>
  <c r="AB54" i="6"/>
  <c r="AB46" i="6"/>
  <c r="AB38" i="6"/>
  <c r="AC67" i="6"/>
  <c r="AC59" i="6"/>
  <c r="AC51" i="6"/>
  <c r="AC43" i="6"/>
  <c r="AC35" i="6"/>
  <c r="AE40" i="6"/>
  <c r="AE34" i="6"/>
  <c r="AE33" i="6"/>
  <c r="AE37" i="6"/>
  <c r="AE38" i="6"/>
  <c r="AE43" i="6"/>
  <c r="AE32" i="6"/>
  <c r="AE42" i="6"/>
  <c r="AE27" i="6"/>
  <c r="AE30" i="6"/>
  <c r="AE29" i="6"/>
  <c r="AE31" i="6"/>
  <c r="AE28" i="6"/>
  <c r="AE26" i="6"/>
  <c r="AE36" i="6"/>
  <c r="AE39" i="6"/>
  <c r="AE41" i="6"/>
  <c r="AE35" i="6"/>
  <c r="AE44" i="6"/>
  <c r="X2" i="6" l="1"/>
  <c r="U19" i="6"/>
  <c r="T18" i="6"/>
  <c r="S18" i="6"/>
  <c r="V19" i="6"/>
  <c r="V18" i="6"/>
  <c r="U18" i="6"/>
  <c r="T19" i="6"/>
  <c r="S19" i="6"/>
  <c r="G17" i="6" l="1"/>
  <c r="G18" i="6"/>
  <c r="G19" i="6"/>
  <c r="G20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" i="6"/>
  <c r="G4" i="6"/>
  <c r="G5" i="6"/>
  <c r="G6" i="6"/>
  <c r="G7" i="6"/>
  <c r="G8" i="6"/>
  <c r="G9" i="6"/>
  <c r="G10" i="6"/>
  <c r="Y3" i="6" s="1"/>
  <c r="G11" i="6"/>
  <c r="G12" i="6"/>
  <c r="G13" i="6"/>
  <c r="G14" i="6"/>
  <c r="G15" i="6"/>
  <c r="G16" i="6"/>
  <c r="G2" i="6"/>
  <c r="L18" i="6" l="1"/>
  <c r="T3" i="6"/>
  <c r="Z3" i="6" s="1"/>
  <c r="I18" i="2"/>
  <c r="F19" i="5" l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I18" i="1"/>
  <c r="H18" i="1"/>
  <c r="I17" i="1"/>
  <c r="G18" i="1"/>
  <c r="G17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<sst xmlns="http://schemas.openxmlformats.org/spreadsheetml/2006/main" count="998" uniqueCount="251">
  <si>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</si>
  <si>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</si>
  <si>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</si>
  <si>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</si>
  <si>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</si>
  <si>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</si>
  <si>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</si>
  <si>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</si>
  <si>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</si>
  <si>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</si>
  <si>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</si>
  <si>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</si>
  <si>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</si>
  <si>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</si>
  <si>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</si>
  <si>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</si>
  <si>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</si>
  <si>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</si>
  <si>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</si>
  <si>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</si>
  <si>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</si>
  <si>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</si>
  <si>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</si>
  <si>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</si>
  <si>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</si>
  <si>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</si>
  <si>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</si>
  <si>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</si>
  <si>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</si>
  <si>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</si>
  <si>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</si>
  <si>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</si>
  <si>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</si>
  <si>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</si>
  <si>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</si>
  <si>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</si>
  <si>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</si>
  <si>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</si>
  <si>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</si>
  <si>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</si>
  <si>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</si>
  <si>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</si>
  <si>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</si>
  <si>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</si>
  <si>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</si>
  <si>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</si>
  <si>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</si>
  <si>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</si>
  <si>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</si>
  <si>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</si>
  <si>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</si>
  <si>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</si>
  <si>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</si>
  <si>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</si>
  <si>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</si>
  <si>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</si>
  <si>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</si>
  <si>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</si>
  <si>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</si>
  <si>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</si>
  <si>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</si>
  <si>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</si>
  <si>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</si>
  <si>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</si>
  <si>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</si>
  <si>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</si>
  <si>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</si>
  <si>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</si>
  <si>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</si>
  <si>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</si>
  <si>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</si>
  <si>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</si>
  <si>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</si>
  <si>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</si>
  <si>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</si>
  <si>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</si>
  <si>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</si>
  <si>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</si>
  <si>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</si>
  <si>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</si>
  <si>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</si>
  <si>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</si>
  <si>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</si>
  <si>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</si>
  <si>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</si>
  <si>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</si>
  <si>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</si>
  <si>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</si>
  <si>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</si>
  <si>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</si>
  <si>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</si>
  <si>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</si>
  <si>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</si>
  <si>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</si>
  <si>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</si>
  <si>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</si>
  <si>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</si>
  <si>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</si>
  <si>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</si>
  <si>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</si>
  <si>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</si>
  <si>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</si>
  <si>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</si>
  <si>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</si>
  <si>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</si>
  <si>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</si>
  <si>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</si>
  <si>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</si>
  <si>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</si>
  <si>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</si>
  <si>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</si>
  <si>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</si>
  <si>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</si>
  <si>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</si>
  <si>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</si>
  <si>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</si>
  <si>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</si>
  <si>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</si>
  <si>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</si>
  <si>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</si>
  <si>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</si>
  <si>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</si>
  <si>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</si>
  <si>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</si>
  <si>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</si>
  <si>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</si>
  <si>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</si>
  <si>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</si>
  <si>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</si>
  <si>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</si>
  <si>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</si>
  <si>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</si>
  <si>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</si>
  <si>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</si>
  <si>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</si>
  <si>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</si>
  <si>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</si>
  <si>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</si>
  <si>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</si>
  <si>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</si>
  <si>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</si>
  <si>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</si>
  <si>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</si>
  <si>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</si>
  <si>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</si>
  <si>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</si>
  <si>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</si>
  <si>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</si>
  <si>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</si>
  <si>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</si>
  <si>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</si>
  <si>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</si>
  <si>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</si>
  <si>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</si>
  <si>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</si>
  <si>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</si>
  <si>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</si>
  <si>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</si>
  <si>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</si>
  <si>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</si>
  <si>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</si>
  <si>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</si>
  <si>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</si>
  <si>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</si>
  <si>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</si>
  <si>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</si>
  <si>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</si>
  <si>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</si>
  <si>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</si>
  <si>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</si>
  <si>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</si>
  <si>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</si>
  <si>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</si>
  <si>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</si>
  <si>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</si>
  <si>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</si>
  <si>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</si>
  <si>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</si>
  <si>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</si>
  <si>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</si>
  <si>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</si>
  <si>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</si>
  <si>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</si>
  <si>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</si>
  <si>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</si>
  <si>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</si>
  <si>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</si>
  <si>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</si>
  <si>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</si>
  <si>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</si>
  <si>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</si>
  <si>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</si>
  <si>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</si>
  <si>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</si>
  <si>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</si>
  <si>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</si>
  <si>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</si>
  <si>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</si>
  <si>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</si>
  <si>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</si>
  <si>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</si>
  <si>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</si>
  <si>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</si>
  <si>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</si>
  <si>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</si>
  <si>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</si>
  <si>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</si>
  <si>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</si>
  <si>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</si>
  <si>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</si>
  <si>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</si>
  <si>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</si>
  <si>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</si>
  <si>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</si>
  <si>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</si>
  <si>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</si>
  <si>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</si>
  <si>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</si>
  <si>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</si>
  <si>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</si>
  <si>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</si>
  <si>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</si>
  <si>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Monday - M</t>
  </si>
  <si>
    <t>Tuesday - T</t>
  </si>
  <si>
    <t>Wednesday - W</t>
  </si>
  <si>
    <t>Thursday - R</t>
  </si>
  <si>
    <t>Friday - F</t>
  </si>
  <si>
    <t>x</t>
  </si>
  <si>
    <t>5:00pm 7:20pm</t>
  </si>
  <si>
    <t>7:30pm 9:50pm</t>
  </si>
  <si>
    <t>Courseindex</t>
  </si>
  <si>
    <t>TimesIndex</t>
  </si>
  <si>
    <t>ClassBlocKIndex</t>
  </si>
  <si>
    <t>ClassBlockIndex</t>
  </si>
  <si>
    <t>ClassBlockIndexREF</t>
  </si>
  <si>
    <t>(DaysIndex*DaysIndex*TimesIndex)</t>
  </si>
  <si>
    <t>Graduate Course Schedule</t>
  </si>
  <si>
    <t>GraduateIDaysIndx</t>
  </si>
  <si>
    <t>GraduateTimesIndx</t>
  </si>
  <si>
    <t>Dynamic Scheduling</t>
  </si>
  <si>
    <t>NumberofClassesScheduled</t>
  </si>
  <si>
    <t>Error Message:</t>
  </si>
  <si>
    <t>This Professor has been scheduled too may times. Pick someone else.</t>
  </si>
  <si>
    <t>AlreadySchedule at time slot</t>
  </si>
  <si>
    <t>DuplicateClassSchedulingCalc</t>
  </si>
  <si>
    <t>Already Scheduled at time Slot Calc</t>
  </si>
  <si>
    <t>DuplicateClassScheduling</t>
  </si>
  <si>
    <t>AlreadyScheduleAtTimeSlot</t>
  </si>
  <si>
    <t>CS 603</t>
  </si>
  <si>
    <t>CS 610</t>
  </si>
  <si>
    <t>07:30PM - 9:50PM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</si>
</sst>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  <family val="2"/>
    </font>
    <font>
      <sz val="14"/>
      <color rgb="FF00AAFF"/>
      <name val="Helvetica Neue"/>
      <family val="2"/>
    </font>
    <font>
      <sz val="14"/>
      <color rgb="FF333333"/>
      <name val="Helvetica Neue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8"/>
      <color rgb="FF000000"/>
      <name val="Segoe UI"/>
      <charset val="1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69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2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1" applyFont="1" applyFill="1"/>
    <xf numFmtId="0" fontId="2" fillId="0" borderId="1" xfId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4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0" xfId="0" applyFont="1"/>
    <xf numFmtId="0" fontId="0" fillId="0" borderId="0" xfId="0" applyFill="1" applyBorder="1"/>
    <xf numFmtId="0" fontId="18" fillId="2" borderId="1" xfId="0" applyFont="1" applyFill="1" applyBorder="1"/>
    <xf numFmtId="0" fontId="18" fillId="2" borderId="2" xfId="0" applyFont="1" applyFill="1" applyBorder="1"/>
    <xf numFmtId="0" fontId="18" fillId="2" borderId="3" xfId="0" applyFont="1" applyFill="1" applyBorder="1"/>
    <xf numFmtId="0" fontId="2" fillId="3" borderId="0" xfId="1" applyFont="1" applyFill="1"/>
    <xf numFmtId="0" fontId="0" fillId="3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4" borderId="0" xfId="0" applyFill="1"/>
    <xf numFmtId="0" fontId="2" fillId="4" borderId="0" xfId="1" applyFont="1" applyFill="1"/>
    <xf numFmtId="0" fontId="0" fillId="4" borderId="0" xfId="0" applyFill="1" applyAlignment="1">
      <alignment horizontal="center" vertical="center"/>
    </xf>
    <xf numFmtId="0" fontId="2" fillId="2" borderId="9" xfId="1" applyFont="1" applyFill="1" applyBorder="1"/>
    <xf numFmtId="0" fontId="20" fillId="2" borderId="10" xfId="1" applyFont="1" applyFill="1" applyBorder="1"/>
    <xf numFmtId="0" fontId="2" fillId="2" borderId="1" xfId="1" applyFont="1" applyFill="1" applyBorder="1"/>
    <xf numFmtId="0" fontId="2" fillId="2" borderId="3" xfId="1" applyFont="1" applyFill="1" applyBorder="1"/>
    <xf numFmtId="0" fontId="2" fillId="2" borderId="4" xfId="1" applyFont="1" applyFill="1" applyBorder="1"/>
    <xf numFmtId="0" fontId="2" fillId="2" borderId="5" xfId="1" applyFont="1" applyFill="1" applyBorder="1"/>
    <xf numFmtId="0" fontId="0" fillId="2" borderId="5" xfId="0" applyFill="1" applyBorder="1"/>
    <xf numFmtId="0" fontId="17" fillId="2" borderId="4" xfId="1" applyFont="1" applyFill="1" applyBorder="1" applyAlignment="1">
      <alignment horizontal="right" vertical="center"/>
    </xf>
    <xf numFmtId="0" fontId="16" fillId="2" borderId="4" xfId="0" applyFont="1" applyFill="1" applyBorder="1" applyAlignment="1">
      <alignment horizontal="right" vertical="center"/>
    </xf>
    <xf numFmtId="0" fontId="0" fillId="2" borderId="4" xfId="0" applyFill="1" applyBorder="1"/>
    <xf numFmtId="0" fontId="0" fillId="2" borderId="6" xfId="0" applyFill="1" applyBorder="1"/>
    <xf numFmtId="0" fontId="0" fillId="2" borderId="8" xfId="0" applyFill="1" applyBorder="1"/>
    <xf numFmtId="0" fontId="19" fillId="2" borderId="4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T$2" fmlaRange="$I$2:$I$37" noThreeD="1" sel="3" val="0"/>
</file>

<file path=xl/ctrlProps/ctrlProp6.xml><?xml version="1.0" encoding="utf-8"?>
<formControlPr xmlns="http://schemas.microsoft.com/office/spreadsheetml/2009/9/main" objectType="Drop" dropStyle="combo" dx="22" fmlaLink="$U$2" fmlaRange="$J$12:$J$19" noThreeD="1" sel="5" val="0"/>
</file>

<file path=xl/ctrlProps/ctrlProp7.xml><?xml version="1.0" encoding="utf-8"?>
<formControlPr xmlns="http://schemas.microsoft.com/office/spreadsheetml/2009/9/main" objectType="Drop" dropStyle="combo" dx="22" fmlaLink="$V$2" fmlaRange="$K$2:$K$5" noThreeD="1" sel="4" val="0"/>
</file>

<file path=xl/ctrlProps/ctrlProp8.xml><?xml version="1.0" encoding="utf-8"?>
<formControlPr xmlns="http://schemas.microsoft.com/office/spreadsheetml/2009/9/main" objectType="Drop" dropStyle="combo" dx="22" fmlaLink="$W$2" fmlaRange="$L$10:$L$11" noThreeD="1" sel="1" val="0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1435100</xdr:colOff>
          <xdr:row>4</xdr:row>
          <xdr:rowOff>177800</xdr:rowOff>
        </xdr:from>
        <xdr:to>
          <xdr:col>12</xdr:col>
          <xdr:colOff>0</xdr:colOff>
          <xdr:row>6</xdr:row>
          <xdr:rowOff>12700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25400</xdr:rowOff>
        </xdr:from>
        <xdr:to>
          <xdr:col>12</xdr:col>
          <xdr:colOff>25400</xdr:colOff>
          <xdr:row>7</xdr:row>
          <xdr:rowOff>25400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139700</xdr:colOff>
          <xdr:row>14</xdr:row>
          <xdr:rowOff>0</xdr:rowOff>
        </xdr:from>
        <xdr:to>
          <xdr:col>10</xdr:col>
          <xdr:colOff>596900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7</xdr:row>
          <xdr:rowOff>25400</xdr:rowOff>
        </xdr:from>
        <xdr:to>
          <xdr:col>13</xdr:col>
          <xdr:colOff>0</xdr:colOff>
          <xdr:row>9</xdr:row>
          <xdr:rowOff>177800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14</xdr:col>
          <xdr:colOff>2095500</xdr:colOff>
          <xdr:row>29</xdr:row>
          <xdr:rowOff>0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12700</xdr:rowOff>
        </xdr:from>
        <xdr:to>
          <xdr:col>14</xdr:col>
          <xdr:colOff>2082800</xdr:colOff>
          <xdr:row>32</xdr:row>
          <xdr:rowOff>0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33</xdr:row>
          <xdr:rowOff>12700</xdr:rowOff>
        </xdr:from>
        <xdr:to>
          <xdr:col>14</xdr:col>
          <xdr:colOff>2082800</xdr:colOff>
          <xdr:row>35</xdr:row>
          <xdr:rowOff>0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36</xdr:row>
          <xdr:rowOff>12700</xdr:rowOff>
        </xdr:from>
        <xdr:to>
          <xdr:col>14</xdr:col>
          <xdr:colOff>2082800</xdr:colOff>
          <xdr:row>37</xdr:row>
          <xdr:rowOff>190500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76200</xdr:rowOff>
        </xdr:from>
        <xdr:to>
          <xdr:col>14</xdr:col>
          <xdr:colOff>2184400</xdr:colOff>
          <xdr:row>42</xdr:row>
          <xdr:rowOff>0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39</xdr:row>
          <xdr:rowOff>0</xdr:rowOff>
        </xdr:from>
        <xdr:to>
          <xdr:col>14</xdr:col>
          <xdr:colOff>1435100</xdr:colOff>
          <xdr:row>41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256854</xdr:colOff>
      <xdr:row>20</xdr:row>
      <xdr:rowOff>546100</xdr:rowOff>
    </xdr:from>
    <xdr:to>
      <xdr:col>14</xdr:col>
      <xdr:colOff>1308100</xdr:colOff>
      <xdr:row>23</xdr:row>
      <xdr:rowOff>127000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3EC725-747D-974D-903D-3406D5B66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854" y="546100"/>
          <a:ext cx="4315146" cy="1371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1574800</xdr:colOff>
      <xdr:row>20</xdr:row>
      <xdr:rowOff>330200</xdr:rowOff>
    </xdr:from>
    <xdr:to>
      <xdr:col>32</xdr:col>
      <xdr:colOff>55446</xdr:colOff>
      <xdr:row>23</xdr:row>
      <xdr:rowOff>317500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409F8BE-77D7-0D4C-A629-5876023FD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330200"/>
          <a:ext cx="6418146" cy="177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33"/>
  <sheetViews>
    <sheetView workbookViewId="0">
      <selection activeCell="M7" sqref="M7"/>
    </sheetView>
  </sheetViews>
  <sheetFormatPr baseColWidth="10" defaultColWidth="8.83203125" defaultRowHeight="15"/>
  <cols>
    <col min="1" max="1" width="18.33203125" bestFit="1" customWidth="1"/>
    <col min="2" max="2" width="12" bestFit="1" customWidth="1"/>
    <col min="3" max="3" width="19" bestFit="1" customWidth="1"/>
    <col min="4" max="5" width="19" customWidth="1"/>
    <col min="6" max="6" width="10.33203125" bestFit="1" customWidth="1"/>
    <col min="11" max="11" width="21.83203125" bestFit="1" customWidth="1"/>
    <col min="12" max="12" width="29.5" customWidth="1"/>
    <col min="14" max="14" width="11.5" bestFit="1" customWidth="1"/>
  </cols>
  <sheetData>
    <row r="2" spans="1:15">
      <c r="A2" s="16" t="s">
        <v>23</v>
      </c>
      <c r="B2" s="15">
        <f ca="1">RAND()</f>
        <v>0.9198352563229123</v>
      </c>
      <c r="C2" t="str">
        <f ca="1">INDEX($A$2:$A$33,RANK($B2,$B$2:$B$33))</f>
        <v>Mark Frydenberg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0.88678999432511374</v>
      </c>
      <c r="C3" t="str">
        <f t="shared" ref="C3:C33" ca="1" si="1">INDEX($A$2:$A$33,RANK($B3,$B$2:$B$33))</f>
        <v>Vatche Ishakian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0.79766714447892983</v>
      </c>
      <c r="C4" t="str">
        <f t="shared" ca="1" si="1"/>
        <v>Xinru Page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0.7890248067056207</v>
      </c>
      <c r="C5" t="str">
        <f t="shared" ca="1" si="1"/>
        <v>James Pape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6">
      <c r="A6" s="16" t="s">
        <v>33</v>
      </c>
      <c r="B6" s="15">
        <f t="shared" ca="1" si="0"/>
        <v>0.89030938482729105</v>
      </c>
      <c r="C6" t="str">
        <f t="shared" ca="1" si="1"/>
        <v>Monica Garfield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6">
      <c r="A7" s="16" t="s">
        <v>35</v>
      </c>
      <c r="B7" s="15">
        <f t="shared" ca="1" si="0"/>
        <v>0.64238267818712713</v>
      </c>
      <c r="C7" t="str">
        <f t="shared" ca="1" si="1"/>
        <v>Donald Aucoin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0.25238412067807214</v>
      </c>
      <c r="C8" t="str">
        <f t="shared" ca="1" si="1"/>
        <v>Stephen Tracy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0.97886905924192902</v>
      </c>
      <c r="C9" t="str">
        <f t="shared" ca="1" si="1"/>
        <v>Tamara Babaian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0.80794414259349301</v>
      </c>
      <c r="C10" t="str">
        <f t="shared" ca="1" si="1"/>
        <v>Elizabeth McCarron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0.87988221611308348</v>
      </c>
      <c r="C11" t="str">
        <f t="shared" ca="1" si="1"/>
        <v>Wendy Lucas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0.66576696446747541</v>
      </c>
      <c r="C12" t="str">
        <f t="shared" ca="1" si="1"/>
        <v>David Yates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0.30879794918832926</v>
      </c>
      <c r="C13" t="str">
        <f t="shared" ca="1" si="1"/>
        <v>David Rude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0.49100164832149618</v>
      </c>
      <c r="C14" t="str">
        <f t="shared" ca="1" si="1"/>
        <v>Joseph Nezuh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0.63023989816596027</v>
      </c>
      <c r="C15" t="str">
        <f t="shared" ca="1" si="1"/>
        <v>Anstasia Biggs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0.68707406701271401</v>
      </c>
      <c r="C16" t="str">
        <f t="shared" ca="1" si="1"/>
        <v>Les Waguespack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0.76196205188343857</v>
      </c>
      <c r="C17" t="str">
        <f t="shared" ca="1" si="1"/>
        <v>Bill Schiano</v>
      </c>
      <c r="E17" t="str">
        <f t="shared" si="2"/>
        <v>David Yates</v>
      </c>
      <c r="G17" t="str">
        <f>RandomSelection($F$5:$F$8)</f>
        <v>red</v>
      </c>
      <c r="H17" t="str">
        <f>RandomSelection($F$5:$F$8)</f>
        <v>pink</v>
      </c>
      <c r="I17" t="str">
        <f>RandomSelection($F$5:$F$8)</f>
        <v>red</v>
      </c>
    </row>
    <row r="18" spans="1:9">
      <c r="A18" s="16" t="s">
        <v>48</v>
      </c>
      <c r="B18" s="15">
        <f t="shared" ca="1" si="0"/>
        <v>0.99675376911312652</v>
      </c>
      <c r="C18" t="str">
        <f t="shared" ca="1" si="1"/>
        <v>Akram Ahmed</v>
      </c>
      <c r="E18" t="str">
        <f t="shared" si="2"/>
        <v>Donald Aucoin</v>
      </c>
      <c r="G18" t="str">
        <f>IF(EXACT(RandomSelection($F$5:$F$8),$F$5),"pink","notpink")</f>
        <v>notpink</v>
      </c>
      <c r="H18" t="str">
        <f t="shared" ref="H18:I18" si="3">IF(EXACT(RandomSelection($F$5:$F$8),$F$5),"pink","notpink")</f>
        <v>notpink</v>
      </c>
      <c r="I18" t="str">
        <f t="shared" si="3"/>
        <v>notpink</v>
      </c>
    </row>
    <row r="19" spans="1:9">
      <c r="A19" s="16" t="s">
        <v>50</v>
      </c>
      <c r="B19" s="15">
        <f t="shared" ca="1" si="0"/>
        <v>0.28799623237846894</v>
      </c>
      <c r="C19" t="str">
        <f t="shared" ca="1" si="1"/>
        <v>Gaurav Shah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0.3997494046105069</v>
      </c>
      <c r="C20" t="str">
        <f t="shared" ca="1" si="1"/>
        <v>Trish Rice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0.5081569693687632</v>
      </c>
      <c r="C21" t="str">
        <f t="shared" ca="1" si="1"/>
        <v>Matthew Macarty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0.26363951761644155</v>
      </c>
      <c r="C22" t="str">
        <f t="shared" ca="1" si="1"/>
        <v>Robert Stubbs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0.73207901389571806</v>
      </c>
      <c r="C23" t="str">
        <f t="shared" ca="1" si="1"/>
        <v>Bill Vanderclock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0.96170231903093595</v>
      </c>
      <c r="C24" t="str">
        <f t="shared" ca="1" si="1"/>
        <v>Jay Cooprider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0.76152440957592238</v>
      </c>
      <c r="C25" t="str">
        <f t="shared" ca="1" si="1"/>
        <v>Heikki Topi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0.68464624390097994</v>
      </c>
      <c r="C26" t="str">
        <f t="shared" ca="1" si="1"/>
        <v>Jennifer Xu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0.61587437988389593</v>
      </c>
      <c r="C27" t="str">
        <f t="shared" ca="1" si="1"/>
        <v>Mimoza Dimodugno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0.26819131472193947</v>
      </c>
      <c r="C28" t="str">
        <f t="shared" ca="1" si="1"/>
        <v>Daniel Sheehan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0.6412978234449952</v>
      </c>
      <c r="C29" t="str">
        <f t="shared" ca="1" si="1"/>
        <v>Michael Banks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0.51674825128564739</v>
      </c>
      <c r="C30" t="str">
        <f t="shared" ca="1" si="1"/>
        <v>Andrea Jones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0.48898290646885723</v>
      </c>
      <c r="C31" t="str">
        <f t="shared" ca="1" si="1"/>
        <v>Anne Pugliese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0.52927883340862436</v>
      </c>
      <c r="C32" t="str">
        <f t="shared" ca="1" si="1"/>
        <v>Joed Graf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0.10316345899994794</v>
      </c>
      <c r="C33" t="str">
        <f t="shared" ca="1" si="1"/>
        <v>Charles Wright</v>
      </c>
      <c r="E33" t="str">
        <f t="shared" si="2"/>
        <v>Charles Wright</v>
      </c>
    </row>
  </sheetData>
  <customSheetViews>
    <customSheetView guid="{F88BE81C-8BBC-CE40-9183-746E883A9C1B}">
      <selection activeCell="M7" sqref="M7"/>
      <pageMargins left="0.7" right="0.7" top="0.75" bottom="0.75" header="0.3" footer="0.3"/>
    </customSheetView>
    <customSheetView guid="{9692233C-0F2E-654E-8AC6-8C4CF1DC23E8}">
      <selection activeCell="M7" sqref="M7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1435100</xdr:colOff>
                    <xdr:row>4</xdr:row>
                    <xdr:rowOff>177800</xdr:rowOff>
                  </from>
                  <to>
                    <xdr:col>12</xdr:col>
                    <xdr:colOff>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25400</xdr:rowOff>
                  </from>
                  <to>
                    <xdr:col>12</xdr:col>
                    <xdr:colOff>25400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4"/>
  <sheetViews>
    <sheetView workbookViewId="0">
      <selection activeCell="B2" sqref="B2:E34"/>
    </sheetView>
  </sheetViews>
  <sheetFormatPr baseColWidth="10" defaultColWidth="8.83203125" defaultRowHeight="15"/>
  <cols>
    <col min="1" max="1" width="19.1640625" customWidth="1"/>
    <col min="2" max="2" width="9.6640625" bestFit="1" customWidth="1"/>
    <col min="3" max="3" width="17.33203125" bestFit="1" customWidth="1"/>
    <col min="4" max="4" width="14.33203125" bestFit="1" customWidth="1"/>
    <col min="12" max="12" width="13.664062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customSheetViews>
    <customSheetView guid="{F88BE81C-8BBC-CE40-9183-746E883A9C1B}">
      <selection activeCell="B2" sqref="B2:E34"/>
      <pageMargins left="0.7" right="0.7" top="0.75" bottom="0.75" header="0.3" footer="0.3"/>
      <pageSetup orientation="portrait" horizontalDpi="0" verticalDpi="0" r:id="rId1"/>
    </customSheetView>
    <customSheetView guid="{9692233C-0F2E-654E-8AC6-8C4CF1DC23E8}">
      <selection activeCell="B2" sqref="B2:E34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DropDown2">
              <controlPr defaultSize="0" autoLine="0" autoPict="0">
                <anchor moveWithCells="1">
                  <from>
                    <xdr:col>8</xdr:col>
                    <xdr:colOff>139700</xdr:colOff>
                    <xdr:row>14</xdr:row>
                    <xdr:rowOff>0</xdr:rowOff>
                  </from>
                  <to>
                    <xdr:col>10</xdr:col>
                    <xdr:colOff>596900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99"/>
  <sheetViews>
    <sheetView workbookViewId="0">
      <selection activeCell="G2" sqref="G2:H54"/>
    </sheetView>
  </sheetViews>
  <sheetFormatPr baseColWidth="10" defaultColWidth="12.83203125" defaultRowHeight="15" customHeight="1"/>
  <cols>
    <col min="1" max="1" width="17.6640625" style="5" customWidth="1"/>
    <col min="2" max="2" width="33.6640625" style="5" customWidth="1"/>
    <col min="3" max="3" width="22.5" style="5" customWidth="1"/>
    <col min="4" max="4" width="18.5" style="5" customWidth="1"/>
    <col min="5" max="5" width="64.83203125" style="5" customWidth="1"/>
    <col min="6" max="6" width="38.1640625" style="5" customWidth="1"/>
    <col min="7" max="7" width="7.5" style="5" customWidth="1"/>
    <col min="8" max="8" width="26.33203125" style="5" customWidth="1"/>
    <col min="9" max="9" width="27.5" style="5" customWidth="1"/>
    <col min="10" max="10" width="21.83203125" style="5" customWidth="1"/>
    <col min="11" max="11" width="28.1640625" style="5" customWidth="1"/>
    <col min="12" max="12" width="23.1640625" style="5" customWidth="1"/>
    <col min="13" max="26" width="12" style="5" customWidth="1"/>
    <col min="27" max="16384" width="12.83203125" style="5"/>
  </cols>
  <sheetData>
    <row r="1" spans="1:12" ht="15.75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75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75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75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75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75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75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75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75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75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75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75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75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75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75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75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75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75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75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75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75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75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75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75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75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75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75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75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75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75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75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75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75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75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75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75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75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75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75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75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75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75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75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75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75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75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75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75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75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75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75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75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75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75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75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75" customHeight="1">
      <c r="A56" s="13"/>
      <c r="D56" s="7"/>
    </row>
    <row r="57" spans="1:12" ht="15.75" customHeight="1">
      <c r="A57" s="14" t="s">
        <v>199</v>
      </c>
      <c r="C57" s="7"/>
      <c r="D57" s="7"/>
    </row>
    <row r="58" spans="1:12" ht="15.75" customHeight="1">
      <c r="C58" s="7"/>
    </row>
    <row r="59" spans="1:12" ht="15.75" customHeight="1"/>
    <row r="60" spans="1:12" ht="15.75" customHeight="1"/>
    <row r="61" spans="1:12" ht="15.75" customHeight="1"/>
    <row r="62" spans="1:12" ht="15.75" customHeight="1"/>
    <row r="63" spans="1:12" ht="15.75" customHeight="1"/>
    <row r="64" spans="1:12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ortState ref="A2:L999">
    <sortCondition ref="G2:G999"/>
    <sortCondition ref="H2:H999"/>
  </sortState>
  <customSheetViews>
    <customSheetView guid="{F88BE81C-8BBC-CE40-9183-746E883A9C1B}">
      <selection activeCell="G2" sqref="G2:H54"/>
      <pageMargins left="0.7" right="0.7" top="0.75" bottom="0.75" header="0.3" footer="0.3"/>
    </customSheetView>
    <customSheetView guid="{9692233C-0F2E-654E-8AC6-8C4CF1DC23E8}">
      <selection activeCell="G2" sqref="G2:H5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J19"/>
  <sheetViews>
    <sheetView workbookViewId="0">
      <selection activeCell="E16" sqref="E16"/>
    </sheetView>
  </sheetViews>
  <sheetFormatPr baseColWidth="10" defaultColWidth="8.83203125" defaultRowHeight="15"/>
  <cols>
    <col min="3" max="3" width="13.6640625" bestFit="1" customWidth="1"/>
    <col min="6" max="6" width="17.664062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customSheetViews>
    <customSheetView guid="{F88BE81C-8BBC-CE40-9183-746E883A9C1B}">
      <selection activeCell="E16" sqref="E16"/>
      <pageMargins left="0.7" right="0.7" top="0.75" bottom="0.75" header="0.3" footer="0.3"/>
      <pageSetup orientation="portrait" horizontalDpi="0" verticalDpi="0" r:id="rId1"/>
    </customSheetView>
    <customSheetView guid="{9692233C-0F2E-654E-8AC6-8C4CF1DC23E8}">
      <selection activeCell="E16" sqref="E16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25400</xdr:colOff>
                    <xdr:row>7</xdr:row>
                    <xdr:rowOff>25400</xdr:rowOff>
                  </from>
                  <to>
                    <xdr:col>13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MasterSheet!$I$2:$I$37</xm:f>
          </x14:formula1>
          <xm:sqref>G8</xm:sqref>
        </x14:dataValidation>
        <x14:dataValidation type="list" allowBlank="1" showInputMessage="1" showErrorMessage="1">
          <x14:formula1>
            <xm:f>MasterSheet!$J$2:$J$19</xm:f>
          </x14:formula1>
          <xm:sqref>H8</xm:sqref>
        </x14:dataValidation>
        <x14:dataValidation type="list" allowBlank="1" showInputMessage="1" showErrorMessage="1">
          <x14:formula1>
            <xm:f>MasterSheet!$L$4:$L$10</xm:f>
          </x14:formula1>
          <xm:sqref>J8</xm:sqref>
        </x14:dataValidation>
        <x14:dataValidation type="list" allowBlank="1" showInputMessage="1" showErrorMessage="1">
          <x14:formula1>
            <xm:f>MasterSheet!$K$2:$K$8</xm:f>
          </x14:formula1>
          <xm:sqref>I8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G7" sqref="G7"/>
    </sheetView>
  </sheetViews>
  <sheetFormatPr baseColWidth="10" defaultColWidth="8.83203125" defaultRowHeight="15"/>
  <cols>
    <col min="1" max="1" width="15" bestFit="1" customWidth="1"/>
    <col min="4" max="4" width="17.83203125" bestFit="1" customWidth="1"/>
  </cols>
  <sheetData/>
  <customSheetViews>
    <customSheetView guid="{F88BE81C-8BBC-CE40-9183-746E883A9C1B}">
      <selection activeCell="G7" sqref="G7"/>
      <pageMargins left="0.7" right="0.7" top="0.75" bottom="0.75" header="0.3" footer="0.3"/>
    </customSheetView>
    <customSheetView guid="{9692233C-0F2E-654E-8AC6-8C4CF1DC23E8}">
      <selection activeCell="G7" sqref="G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U384"/>
  <sheetViews>
    <sheetView tabSelected="1" topLeftCell="A21" zoomScaleNormal="74" workbookViewId="0">
      <selection activeCell="AF27" sqref="AF27"/>
    </sheetView>
  </sheetViews>
  <sheetFormatPr baseColWidth="10" defaultColWidth="8.83203125" defaultRowHeight="15"/>
  <cols>
    <col min="1" max="2" width="8.83203125" style="53" customWidth="1"/>
    <col min="3" max="3" width="19" hidden="1" customWidth="1"/>
    <col min="4" max="4" width="8.83203125" hidden="1" customWidth="1"/>
    <col min="5" max="5" width="18.5" hidden="1" customWidth="1"/>
    <col min="6" max="6" width="10.6640625" hidden="1" customWidth="1"/>
    <col min="7" max="7" width="7.83203125" hidden="1" customWidth="1"/>
    <col min="8" max="8" width="16.6640625" hidden="1" customWidth="1"/>
    <col min="9" max="9" width="8.83203125" hidden="1" customWidth="1"/>
    <col min="10" max="10" width="20.83203125" hidden="1" customWidth="1"/>
    <col min="11" max="11" width="21.1640625" hidden="1" customWidth="1"/>
    <col min="12" max="12" width="21.6640625" hidden="1" customWidth="1"/>
    <col min="13" max="13" width="25.1640625" hidden="1" customWidth="1"/>
    <col min="14" max="14" width="25.1640625" style="53" customWidth="1"/>
    <col min="15" max="15" width="28.83203125" style="53" bestFit="1" customWidth="1"/>
    <col min="16" max="16" width="24.5" bestFit="1" customWidth="1"/>
    <col min="17" max="17" width="11.6640625" bestFit="1" customWidth="1"/>
    <col min="19" max="19" width="21.5" customWidth="1"/>
    <col min="20" max="20" width="19" hidden="1" customWidth="1"/>
    <col min="21" max="21" width="21.5" hidden="1" customWidth="1"/>
    <col min="22" max="22" width="22.5" hidden="1" customWidth="1"/>
    <col min="23" max="23" width="17.6640625" hidden="1" customWidth="1"/>
    <col min="24" max="24" width="15.5" hidden="1" customWidth="1"/>
    <col min="25" max="25" width="26.5" hidden="1" customWidth="1"/>
    <col min="26" max="26" width="50.1640625" hidden="1" customWidth="1"/>
    <col min="27" max="27" width="32.33203125" hidden="1" customWidth="1"/>
    <col min="28" max="28" width="28.83203125" hidden="1" customWidth="1"/>
    <col min="29" max="29" width="29.83203125" hidden="1" customWidth="1"/>
    <col min="30" max="31" width="8.83203125" hidden="1" customWidth="1"/>
    <col min="32" max="99" width="8.83203125" style="53"/>
  </cols>
  <sheetData>
    <row r="1" spans="3:28" hidden="1">
      <c r="C1" t="s">
        <v>200</v>
      </c>
      <c r="D1" t="s">
        <v>21</v>
      </c>
      <c r="E1" t="s">
        <v>20</v>
      </c>
      <c r="F1" t="s">
        <v>19</v>
      </c>
      <c r="G1" t="s">
        <v>213</v>
      </c>
      <c r="H1" t="s">
        <v>214</v>
      </c>
      <c r="I1" t="s">
        <v>18</v>
      </c>
      <c r="J1" t="s">
        <v>205</v>
      </c>
      <c r="K1" t="s">
        <v>71</v>
      </c>
      <c r="L1" t="s">
        <v>72</v>
      </c>
      <c r="M1" t="s">
        <v>215</v>
      </c>
      <c r="O1" s="53" t="s">
        <v>216</v>
      </c>
      <c r="P1" t="s">
        <v>217</v>
      </c>
      <c r="Q1" t="s">
        <v>218</v>
      </c>
      <c r="T1" t="s">
        <v>206</v>
      </c>
      <c r="U1" t="s">
        <v>207</v>
      </c>
      <c r="V1" t="s">
        <v>208</v>
      </c>
      <c r="W1" t="s">
        <v>231</v>
      </c>
      <c r="X1" t="s">
        <v>232</v>
      </c>
      <c r="Y1" t="s">
        <v>240</v>
      </c>
      <c r="Z1" t="s">
        <v>246</v>
      </c>
      <c r="AA1" t="s">
        <v>247</v>
      </c>
    </row>
    <row r="2" spans="3:28" ht="16" hidden="1">
      <c r="C2">
        <v>1</v>
      </c>
      <c r="D2">
        <v>4</v>
      </c>
      <c r="E2" t="s">
        <v>25</v>
      </c>
      <c r="F2" t="s">
        <v>24</v>
      </c>
      <c r="G2">
        <f>IF(F2="FT",4,IF(F2="Adjunct",2,))</f>
        <v>4</v>
      </c>
      <c r="H2" s="26">
        <f>COUNTIF(P26:P69,I2)</f>
        <v>0</v>
      </c>
      <c r="I2" t="s">
        <v>23</v>
      </c>
      <c r="J2" s="6" t="s">
        <v>152</v>
      </c>
      <c r="K2" s="39" t="s">
        <v>79</v>
      </c>
      <c r="L2" s="6" t="s">
        <v>159</v>
      </c>
      <c r="M2">
        <v>21</v>
      </c>
      <c r="O2" s="53" t="s">
        <v>79</v>
      </c>
      <c r="P2" s="18" t="s">
        <v>219</v>
      </c>
      <c r="Q2" t="s">
        <v>220</v>
      </c>
      <c r="R2" s="6"/>
      <c r="T2">
        <v>3</v>
      </c>
      <c r="U2">
        <v>5</v>
      </c>
      <c r="V2">
        <v>4</v>
      </c>
      <c r="W2">
        <v>1</v>
      </c>
      <c r="X2">
        <f>(V2*V2)*W2</f>
        <v>16</v>
      </c>
    </row>
    <row r="3" spans="3:28" ht="16" hidden="1">
      <c r="C3">
        <v>1</v>
      </c>
      <c r="D3">
        <v>6</v>
      </c>
      <c r="E3" t="s">
        <v>49</v>
      </c>
      <c r="F3" t="s">
        <v>37</v>
      </c>
      <c r="G3">
        <f t="shared" ref="G3:G37" si="0">IF(F3="FT",4,IF(F3="Adjunct",2,))</f>
        <v>2</v>
      </c>
      <c r="H3" s="26">
        <f>COUNTIF(P26:P69,I3)</f>
        <v>0</v>
      </c>
      <c r="I3" t="s">
        <v>54</v>
      </c>
      <c r="J3" s="6" t="s">
        <v>146</v>
      </c>
      <c r="K3" s="40" t="s">
        <v>96</v>
      </c>
      <c r="L3" s="6" t="s">
        <v>161</v>
      </c>
      <c r="M3">
        <v>22</v>
      </c>
      <c r="O3" s="53" t="s">
        <v>96</v>
      </c>
      <c r="P3" s="18" t="s">
        <v>219</v>
      </c>
      <c r="Q3" t="s">
        <v>220</v>
      </c>
      <c r="R3" s="6"/>
      <c r="T3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Anne Pugliese</v>
      </c>
      <c r="U3" t="str">
        <f>IF(U2=1,"CS 603",IF(U2=2,"CS 605",IF(U2=3,"CS 607",IF(U2=4,"CS 610",IF(U2=5,"CS 620",IF(U2=6,"CS 630",IF(U2=7,"CS 650",IF(U2=8,"CS 680",))))))))</f>
        <v>CS 620</v>
      </c>
      <c r="V3" t="str">
        <f>IF(V2=1,"M",IF(V2=2,"T",IF(V2=3,"W",IF(V2=4,"R",IF(V2=5,"TR",IF(V2=6,"TF",IF(V2=7,"MW",IF(V2=8,"MR",))))))))</f>
        <v>R</v>
      </c>
      <c r="W3" t="str">
        <f>IF(W2=1,"05:00PM - 07:20PM",IF(W2=2,"07:30PM - 9:50PM"))</f>
        <v>05:00PM - 07:20PM</v>
      </c>
      <c r="Y3">
        <f>IF(T2=1,H2,IF(T2=2,H3,IF(T2=3,H4,IF(T2=4,H5,IF(T2=5,H6,IF(T2=6,H7,IF(T2=7,H8,IF(T2=8,H9,IF(T2=9,H10,IF(T2=10,H11,IF(T2=11,H12,IF(T2=12,H13,IF(T2=13,H14,IF(T2=14,H15,IF(T2=15,H16,IF(T2=16,H17, IF(T2=17, H18, IF(T2=18,H19, IF(T2=19,H20,IF(T2=20,H25,IF(T2=21,H26,IF(T2=22,H27,IF(T2=23, H28,IF(T2=24,H29,IF(T2=25,H30,IF(T2=26,H31, IF(T2=27,H32, IF(T2=28,H33,IF(T2=29,H34,IF(T2=30,H35,IF(T2=31,H36,IF(T2=32,H37,))))))))))))))))))))))))))))))))</f>
        <v>4</v>
      </c>
      <c r="Z3" t="b">
        <f>IF((COUNTIF($Z$26:$Z$69,CONCATENATE($T$3,$U$3,$V$3,$W$3)))&gt;=1,TRUE,FALSE)</f>
        <v>0</v>
      </c>
      <c r="AA3">
        <f ca="1">IF(V3="M",COUNTIF(AA26:AA69,CONCAT(T3,V3,W3))+COUNTIF(AA26:AA69,CONCAT(T3,"MW",W3))+COUNTIF(AA26:AA69,CONCAT(T3,"MR",W3)),IF(V3="MW",COUNTIF(AA26:AA69,CONCAT(T3,V3,W3))+COUNTIF(AA26:AA69,CONCAT(T3,"M",W3))+COUNTIF(AA26:AA69,CONCAT(T3,"MR",W3))+COUNTIF(AA26:AA69,CONCAT(T3,"W",W3)),IF(V3="MR",COUNTIF(AA26:AA69,CONCAT(T3,V3,W3))+COUNTIF(AA26:AA69,CONCAT(T3,"M",W3))+COUNTIF(AA26:AA69,CONCAT(T3,"MW",W3))+COUNTIF(AA26:AA69,CONCAT(T3,"TR",W3)),IF(V3="T",COUNTIF(AA26:AA69,CONCAT(T3,V3,W3))+COUNTIF(AA26:AA69,CONCAT(T3,"TR",W3))+COUNTIF(AA26:AA69,CONCAT(T3,"TF",W3)),IF(V3="TR",COUNTIF(AA26:AA69,CONCAT(T3,V3,W3))+COUNTIF(AA26:AA69,CONCAT(T3,"T",W3))+COUNTIF(AA26:AA69,CONCAT(T3,"TF",W3))+COUNTIF(AA26:AA69,CONCAT(T3,"R",W3)),IF(V3="TF",COUNTIF(AA26:AA69,CONCAT(T3,V3,W3))+COUNTIF(AA26:AA69,CONCAT(T3,"T",W3))+COUNTIF(AA26:AA69,CONCAT(T3,"TR",W3)),IF(V3="W",COUNTIF(AA26:AA69,CONCAT(T3,V3,W3))+COUNTIF(AA26:AA69,CONCAT(T3,"MW",W3)),IF(V3="R",COUNTIF(AA26:AA69,CONCAT(T3,V3,W3))+COUNTIF(AA26:AA69,CONCAT(T3,"MR",W3))+COUNTIF(AA26:AA69,CONCAT(T3,"TR",W3)),FALSE))))))))</f>
        <v>0</v>
      </c>
    </row>
    <row r="4" spans="3:28" ht="16" hidden="1">
      <c r="C4">
        <v>1</v>
      </c>
      <c r="D4">
        <v>6</v>
      </c>
      <c r="E4" t="s">
        <v>49</v>
      </c>
      <c r="F4" t="s">
        <v>37</v>
      </c>
      <c r="G4">
        <f t="shared" si="0"/>
        <v>2</v>
      </c>
      <c r="H4" s="26">
        <f>COUNTIF(P26:P69,I4)</f>
        <v>4</v>
      </c>
      <c r="I4" t="s">
        <v>57</v>
      </c>
      <c r="J4" s="6" t="s">
        <v>168</v>
      </c>
      <c r="K4" s="40" t="s">
        <v>101</v>
      </c>
      <c r="L4" s="6" t="s">
        <v>186</v>
      </c>
      <c r="M4">
        <v>23</v>
      </c>
      <c r="O4" s="53" t="s">
        <v>101</v>
      </c>
      <c r="P4" s="18" t="s">
        <v>219</v>
      </c>
      <c r="Q4" t="s">
        <v>220</v>
      </c>
      <c r="R4" s="6"/>
      <c r="T4">
        <v>9</v>
      </c>
      <c r="U4">
        <v>9</v>
      </c>
      <c r="V4">
        <v>1</v>
      </c>
      <c r="W4">
        <v>9</v>
      </c>
      <c r="X4">
        <v>9</v>
      </c>
    </row>
    <row r="5" spans="3:28" ht="16" hidden="1">
      <c r="C5">
        <v>1</v>
      </c>
      <c r="D5">
        <v>6</v>
      </c>
      <c r="E5" t="s">
        <v>49</v>
      </c>
      <c r="F5" t="s">
        <v>37</v>
      </c>
      <c r="G5">
        <f t="shared" si="0"/>
        <v>2</v>
      </c>
      <c r="H5" s="26">
        <f>COUNTIF(P26:P69,I5)</f>
        <v>0</v>
      </c>
      <c r="I5" t="s">
        <v>51</v>
      </c>
      <c r="J5" s="6" t="s">
        <v>138</v>
      </c>
      <c r="K5" s="39" t="s">
        <v>86</v>
      </c>
      <c r="L5" s="6" t="s">
        <v>142</v>
      </c>
      <c r="M5">
        <v>24</v>
      </c>
      <c r="O5" s="53" t="s">
        <v>86</v>
      </c>
      <c r="P5" s="18" t="s">
        <v>219</v>
      </c>
      <c r="Q5" t="s">
        <v>220</v>
      </c>
      <c r="R5" s="6"/>
    </row>
    <row r="6" spans="3:28" ht="16" hidden="1">
      <c r="C6">
        <v>1</v>
      </c>
      <c r="D6">
        <v>1</v>
      </c>
      <c r="E6" t="s">
        <v>26</v>
      </c>
      <c r="F6" t="s">
        <v>24</v>
      </c>
      <c r="G6">
        <f t="shared" si="0"/>
        <v>4</v>
      </c>
      <c r="H6" s="26">
        <f>COUNTIF(P26:P69,I6)</f>
        <v>0</v>
      </c>
      <c r="I6" t="s">
        <v>42</v>
      </c>
      <c r="J6" s="6" t="s">
        <v>143</v>
      </c>
      <c r="K6" s="6" t="s">
        <v>181</v>
      </c>
      <c r="L6" s="6" t="s">
        <v>127</v>
      </c>
      <c r="M6">
        <v>25</v>
      </c>
      <c r="O6" s="53" t="s">
        <v>79</v>
      </c>
      <c r="P6" s="18" t="s">
        <v>220</v>
      </c>
      <c r="Q6" t="s">
        <v>221</v>
      </c>
      <c r="R6" s="6"/>
      <c r="S6" t="s">
        <v>241</v>
      </c>
      <c r="T6" s="34" t="s">
        <v>242</v>
      </c>
    </row>
    <row r="7" spans="3:28" ht="16" hidden="1">
      <c r="C7">
        <v>1</v>
      </c>
      <c r="D7">
        <v>4</v>
      </c>
      <c r="E7" t="s">
        <v>25</v>
      </c>
      <c r="F7" t="s">
        <v>24</v>
      </c>
      <c r="G7">
        <f t="shared" si="0"/>
        <v>4</v>
      </c>
      <c r="H7" s="26">
        <f>COUNTIF(P26:P69,I7)</f>
        <v>0</v>
      </c>
      <c r="I7" t="s">
        <v>44</v>
      </c>
      <c r="J7" s="6" t="s">
        <v>149</v>
      </c>
      <c r="K7" s="6" t="s">
        <v>167</v>
      </c>
      <c r="L7" s="6" t="s">
        <v>148</v>
      </c>
      <c r="M7">
        <v>26</v>
      </c>
      <c r="O7" s="53" t="s">
        <v>96</v>
      </c>
      <c r="P7" s="18" t="s">
        <v>220</v>
      </c>
      <c r="Q7" t="s">
        <v>221</v>
      </c>
      <c r="R7" s="6"/>
    </row>
    <row r="8" spans="3:28" ht="16" hidden="1">
      <c r="C8">
        <v>1</v>
      </c>
      <c r="D8">
        <v>6</v>
      </c>
      <c r="E8" t="s">
        <v>49</v>
      </c>
      <c r="F8" t="s">
        <v>37</v>
      </c>
      <c r="G8">
        <f t="shared" si="0"/>
        <v>2</v>
      </c>
      <c r="H8" s="26">
        <f>COUNTIF(P26:P69,I8)</f>
        <v>0</v>
      </c>
      <c r="I8" t="s">
        <v>64</v>
      </c>
      <c r="J8" s="6" t="s">
        <v>165</v>
      </c>
      <c r="K8" s="6" t="s">
        <v>147</v>
      </c>
      <c r="L8" s="6" t="s">
        <v>155</v>
      </c>
      <c r="M8">
        <v>27</v>
      </c>
      <c r="O8" s="53" t="s">
        <v>101</v>
      </c>
      <c r="P8" s="18" t="s">
        <v>220</v>
      </c>
      <c r="Q8" t="s">
        <v>221</v>
      </c>
      <c r="R8" s="6"/>
    </row>
    <row r="9" spans="3:28" ht="16" hidden="1">
      <c r="C9">
        <v>1</v>
      </c>
      <c r="D9">
        <v>6</v>
      </c>
      <c r="E9" t="s">
        <v>49</v>
      </c>
      <c r="F9" t="s">
        <v>37</v>
      </c>
      <c r="G9">
        <f t="shared" si="0"/>
        <v>2</v>
      </c>
      <c r="H9" s="26">
        <f>COUNTIF(P26:P69,I9)</f>
        <v>0</v>
      </c>
      <c r="I9" t="s">
        <v>61</v>
      </c>
      <c r="J9" s="6" t="s">
        <v>198</v>
      </c>
      <c r="K9" s="6" t="s">
        <v>126</v>
      </c>
      <c r="L9" s="6" t="s">
        <v>190</v>
      </c>
      <c r="M9">
        <v>28</v>
      </c>
      <c r="O9" s="53" t="s">
        <v>86</v>
      </c>
      <c r="P9" s="18" t="s">
        <v>220</v>
      </c>
      <c r="Q9" t="s">
        <v>221</v>
      </c>
      <c r="R9" s="6"/>
      <c r="AB9" s="6" t="s">
        <v>79</v>
      </c>
    </row>
    <row r="10" spans="3:28" ht="16" hidden="1">
      <c r="C10">
        <v>1</v>
      </c>
      <c r="D10">
        <v>6</v>
      </c>
      <c r="E10" t="s">
        <v>49</v>
      </c>
      <c r="F10" t="s">
        <v>37</v>
      </c>
      <c r="G10">
        <f t="shared" si="0"/>
        <v>2</v>
      </c>
      <c r="H10" s="26">
        <f>COUNTIF(P26:P69,I10)</f>
        <v>0</v>
      </c>
      <c r="I10" t="s">
        <v>59</v>
      </c>
      <c r="J10" s="6" t="s">
        <v>171</v>
      </c>
      <c r="K10" s="6"/>
      <c r="L10" s="39" t="s">
        <v>15</v>
      </c>
      <c r="M10" s="6"/>
      <c r="N10" s="54"/>
      <c r="AB10" s="6" t="s">
        <v>147</v>
      </c>
    </row>
    <row r="11" spans="3:28" ht="17" hidden="1" thickBot="1">
      <c r="C11">
        <v>1</v>
      </c>
      <c r="D11">
        <v>2</v>
      </c>
      <c r="E11" t="s">
        <v>28</v>
      </c>
      <c r="F11" t="s">
        <v>24</v>
      </c>
      <c r="G11">
        <f t="shared" si="0"/>
        <v>4</v>
      </c>
      <c r="H11" s="26">
        <f>COUNTIF(P26:P69,I11)</f>
        <v>0</v>
      </c>
      <c r="I11" t="s">
        <v>47</v>
      </c>
      <c r="J11" s="6" t="s">
        <v>182</v>
      </c>
      <c r="K11" s="6"/>
      <c r="L11" s="39" t="s">
        <v>16</v>
      </c>
      <c r="M11" s="6"/>
      <c r="N11" s="54"/>
      <c r="AB11" s="6" t="s">
        <v>126</v>
      </c>
    </row>
    <row r="12" spans="3:28" ht="16" hidden="1">
      <c r="C12">
        <v>1</v>
      </c>
      <c r="D12">
        <v>6</v>
      </c>
      <c r="E12" t="s">
        <v>49</v>
      </c>
      <c r="F12" t="s">
        <v>37</v>
      </c>
      <c r="G12">
        <f t="shared" si="0"/>
        <v>2</v>
      </c>
      <c r="H12" s="26">
        <f>COUNTIF(P26:P69,I12)</f>
        <v>0</v>
      </c>
      <c r="I12" t="s">
        <v>48</v>
      </c>
      <c r="J12" s="6" t="s">
        <v>89</v>
      </c>
      <c r="K12" s="21" t="s">
        <v>237</v>
      </c>
      <c r="L12" s="21" t="s">
        <v>238</v>
      </c>
      <c r="Q12" s="6"/>
      <c r="R12" s="22" t="s">
        <v>234</v>
      </c>
      <c r="S12" s="23" t="s">
        <v>235</v>
      </c>
      <c r="T12" s="23"/>
      <c r="U12" s="23"/>
      <c r="V12" s="23"/>
      <c r="W12" s="24"/>
      <c r="AB12" s="6" t="s">
        <v>96</v>
      </c>
    </row>
    <row r="13" spans="3:28" ht="16" hidden="1">
      <c r="C13">
        <v>1</v>
      </c>
      <c r="D13">
        <v>5</v>
      </c>
      <c r="E13" t="s">
        <v>34</v>
      </c>
      <c r="F13" t="s">
        <v>24</v>
      </c>
      <c r="G13">
        <f t="shared" si="0"/>
        <v>4</v>
      </c>
      <c r="H13" s="26">
        <f>COUNTIF(P26:P69,I13)</f>
        <v>0</v>
      </c>
      <c r="I13" t="s">
        <v>39</v>
      </c>
      <c r="J13" s="6" t="s">
        <v>76</v>
      </c>
      <c r="K13" s="21">
        <v>1</v>
      </c>
      <c r="L13" s="6">
        <v>7</v>
      </c>
      <c r="Q13" s="6"/>
      <c r="R13" s="25" t="s">
        <v>204</v>
      </c>
      <c r="S13" s="26" t="s">
        <v>222</v>
      </c>
      <c r="T13" s="26" t="s">
        <v>223</v>
      </c>
      <c r="U13" s="26" t="s">
        <v>224</v>
      </c>
      <c r="V13" s="26" t="s">
        <v>225</v>
      </c>
      <c r="W13" s="27" t="s">
        <v>226</v>
      </c>
      <c r="AB13" s="6" t="s">
        <v>181</v>
      </c>
    </row>
    <row r="14" spans="3:28" ht="30" hidden="1">
      <c r="C14">
        <v>1</v>
      </c>
      <c r="D14">
        <v>6</v>
      </c>
      <c r="E14" t="s">
        <v>49</v>
      </c>
      <c r="F14" t="s">
        <v>37</v>
      </c>
      <c r="G14">
        <f t="shared" si="0"/>
        <v>2</v>
      </c>
      <c r="H14" s="26">
        <f>COUNTIF(P26:P69,I14)</f>
        <v>0</v>
      </c>
      <c r="I14" t="s">
        <v>60</v>
      </c>
      <c r="J14" s="6" t="s">
        <v>202</v>
      </c>
      <c r="K14" s="21">
        <v>4</v>
      </c>
      <c r="L14" s="6">
        <v>9</v>
      </c>
      <c r="Q14" s="6"/>
      <c r="R14" s="28" t="s">
        <v>228</v>
      </c>
      <c r="S14" s="29">
        <v>8</v>
      </c>
      <c r="T14" s="29">
        <v>128</v>
      </c>
      <c r="U14" s="29">
        <v>392</v>
      </c>
      <c r="V14" s="29">
        <v>512</v>
      </c>
      <c r="W14" s="30" t="s">
        <v>227</v>
      </c>
      <c r="AB14" s="6" t="s">
        <v>167</v>
      </c>
    </row>
    <row r="15" spans="3:28" ht="31" hidden="1" thickBot="1">
      <c r="C15">
        <v>1</v>
      </c>
      <c r="D15">
        <v>1</v>
      </c>
      <c r="E15" t="s">
        <v>26</v>
      </c>
      <c r="F15" t="s">
        <v>24</v>
      </c>
      <c r="G15">
        <f t="shared" si="0"/>
        <v>4</v>
      </c>
      <c r="H15" s="26">
        <f>COUNTIF(P26:P69,I15)</f>
        <v>0</v>
      </c>
      <c r="I15" t="s">
        <v>43</v>
      </c>
      <c r="J15" s="6" t="s">
        <v>94</v>
      </c>
      <c r="K15" s="21">
        <v>7</v>
      </c>
      <c r="Q15" s="6"/>
      <c r="R15" s="31" t="s">
        <v>229</v>
      </c>
      <c r="S15" s="32">
        <v>10</v>
      </c>
      <c r="T15" s="32">
        <v>160</v>
      </c>
      <c r="U15" s="32">
        <v>490</v>
      </c>
      <c r="V15" s="32">
        <v>640</v>
      </c>
      <c r="W15" s="33" t="s">
        <v>227</v>
      </c>
      <c r="AB15" s="6" t="s">
        <v>101</v>
      </c>
    </row>
    <row r="16" spans="3:28" ht="16" hidden="1">
      <c r="C16">
        <v>1</v>
      </c>
      <c r="D16">
        <v>4</v>
      </c>
      <c r="E16" t="s">
        <v>25</v>
      </c>
      <c r="F16" t="s">
        <v>24</v>
      </c>
      <c r="G16">
        <f t="shared" si="0"/>
        <v>4</v>
      </c>
      <c r="H16" s="26">
        <f>COUNTIF(P26:P69,I16)</f>
        <v>0</v>
      </c>
      <c r="I16" t="s">
        <v>41</v>
      </c>
      <c r="J16" s="6" t="s">
        <v>83</v>
      </c>
      <c r="K16" s="21">
        <v>8</v>
      </c>
      <c r="Q16" s="6"/>
      <c r="R16" s="6"/>
      <c r="T16" s="6"/>
      <c r="AB16" s="6" t="s">
        <v>86</v>
      </c>
    </row>
    <row r="17" spans="3:33" ht="16" hidden="1">
      <c r="C17">
        <v>1</v>
      </c>
      <c r="D17">
        <v>2</v>
      </c>
      <c r="E17" t="s">
        <v>28</v>
      </c>
      <c r="F17" t="s">
        <v>24</v>
      </c>
      <c r="G17">
        <f t="shared" si="0"/>
        <v>4</v>
      </c>
      <c r="H17" s="26">
        <f>COUNTIF(P26:P69,I17)</f>
        <v>0</v>
      </c>
      <c r="I17" t="s">
        <v>30</v>
      </c>
      <c r="J17" s="6" t="s">
        <v>97</v>
      </c>
      <c r="P17" t="s">
        <v>239</v>
      </c>
      <c r="Q17" s="6"/>
      <c r="R17" t="s">
        <v>204</v>
      </c>
      <c r="S17" t="s">
        <v>222</v>
      </c>
      <c r="T17" t="s">
        <v>223</v>
      </c>
      <c r="U17" t="s">
        <v>224</v>
      </c>
      <c r="V17" t="s">
        <v>225</v>
      </c>
      <c r="W17" t="s">
        <v>226</v>
      </c>
    </row>
    <row r="18" spans="3:33" ht="30" hidden="1">
      <c r="C18">
        <v>1</v>
      </c>
      <c r="D18">
        <v>2</v>
      </c>
      <c r="E18" t="s">
        <v>28</v>
      </c>
      <c r="F18" t="s">
        <v>24</v>
      </c>
      <c r="G18">
        <f t="shared" si="0"/>
        <v>4</v>
      </c>
      <c r="H18" s="26">
        <f>COUNTIF(P26:P69,I18)</f>
        <v>0</v>
      </c>
      <c r="I18" t="s">
        <v>46</v>
      </c>
      <c r="J18" s="6" t="s">
        <v>109</v>
      </c>
      <c r="K18" s="21"/>
      <c r="L18" t="str">
        <f>IF(G5-COUNTIF(ProfessorClass,I5)&lt;0,"TooMany","Fine")</f>
        <v>Fine</v>
      </c>
      <c r="Q18" s="6"/>
      <c r="R18" s="19" t="s">
        <v>228</v>
      </c>
      <c r="S18" s="20" t="e">
        <f ca="1">_xlfn.CONCAT(INDEX($P$26:$Y$69,MATCH($S$14,$Y$26:$Y$69,0),1)," ",INDEX($P$26:$Y$69,MATCH($S$14,$Y$26:$Y$69,0),2))</f>
        <v>#NAME?</v>
      </c>
      <c r="T18" s="20" t="e">
        <f ca="1">_xlfn.CONCAT(INDEX($P$26:$Y$69,MATCH($T$14,$Y$26:$Y$69,0),1)," ",INDEX($P$26:$Y$69,MATCH($T$14,$Y$26:$Y$69,0),2))</f>
        <v>#NAME?</v>
      </c>
      <c r="U18" s="20" t="e">
        <f ca="1">_xlfn.CONCAT(INDEX($P$26:$Y$69,MATCH($U$14,$Y$26:$Y$69,0),1)," ",INDEX($P$26:$Y$69,MATCH($U$14,$Y$26:$Y$69,0),2))</f>
        <v>#NAME?</v>
      </c>
      <c r="V18" s="20" t="e">
        <f ca="1">_xlfn.CONCAT(INDEX($P$26:$Y$69,MATCH($V$14,$Y$26:$Y$69,0),1)," ",INDEX($P$26:$Y$69,MATCH($V$14,$Y$26:$Y$69,0),2))</f>
        <v>#NAME?</v>
      </c>
      <c r="W18" s="20" t="s">
        <v>227</v>
      </c>
    </row>
    <row r="19" spans="3:33" ht="30" hidden="1">
      <c r="C19">
        <v>1</v>
      </c>
      <c r="D19">
        <v>6</v>
      </c>
      <c r="E19" t="s">
        <v>49</v>
      </c>
      <c r="F19" t="s">
        <v>37</v>
      </c>
      <c r="G19">
        <f t="shared" si="0"/>
        <v>2</v>
      </c>
      <c r="H19" s="26">
        <f>COUNTIF(P26:P69,I19)</f>
        <v>0</v>
      </c>
      <c r="I19" t="s">
        <v>53</v>
      </c>
      <c r="J19" s="6" t="s">
        <v>104</v>
      </c>
      <c r="K19" s="21"/>
      <c r="Q19" s="6"/>
      <c r="R19" s="19" t="s">
        <v>229</v>
      </c>
      <c r="S19" s="20" t="e">
        <f ca="1">_xlfn.CONCAT(INDEX($P$26:$Y$69,MATCH($S$15,$Y$26:$Y$69,0),1)," ",INDEX($P$26:$Y$69,MATCH($S$15,$Y$26:$Y$69,0),2))</f>
        <v>#NAME?</v>
      </c>
      <c r="T19" s="20" t="e">
        <f ca="1">_xlfn.CONCAT(INDEX($P$26:$Y$69,MATCH($T$15,$Y$26:$Y$69,0),1)," ",INDEX($P$26:$Y$69,MATCH($T$15,$Y$26:$Y$69,0),2))</f>
        <v>#NAME?</v>
      </c>
      <c r="U19" s="20" t="e">
        <f ca="1">_xlfn.CONCAT(INDEX($P$26:$Y$69,MATCH($U$15,$Y$26:$Y$69,0),1)," ",INDEX($P$26:$Y$69,MATCH($U$15,$Y$26:$Y$69,0),2))</f>
        <v>#NAME?</v>
      </c>
      <c r="V19" s="20" t="e">
        <f ca="1">_xlfn.CONCAT(INDEX($P$26:$Y$69,MATCH($V$15,$Y$26:$Y$69,0),1)," ",INDEX($P$26:$Y$69,MATCH($V$15,$Y$26:$Y$69,0),2))</f>
        <v>#NAME?</v>
      </c>
      <c r="W19" s="20" t="s">
        <v>227</v>
      </c>
    </row>
    <row r="20" spans="3:33" s="53" customFormat="1" ht="47" hidden="1" customHeight="1">
      <c r="C20" s="53">
        <v>1</v>
      </c>
      <c r="D20" s="53">
        <v>6</v>
      </c>
      <c r="E20" s="53" t="s">
        <v>49</v>
      </c>
      <c r="F20" s="53" t="s">
        <v>37</v>
      </c>
      <c r="G20" s="53">
        <f t="shared" si="0"/>
        <v>2</v>
      </c>
      <c r="H20" s="42">
        <f>COUNTIF(P26:P69,I20)</f>
        <v>0</v>
      </c>
      <c r="I20" s="53" t="s">
        <v>56</v>
      </c>
      <c r="K20" s="54"/>
      <c r="L20" s="54"/>
      <c r="M20" s="54"/>
      <c r="N20" s="54"/>
    </row>
    <row r="21" spans="3:33" s="53" customFormat="1" ht="47" customHeight="1">
      <c r="H21" s="42"/>
      <c r="K21" s="54"/>
      <c r="L21" s="54"/>
      <c r="M21" s="54"/>
      <c r="N21" s="54"/>
    </row>
    <row r="22" spans="3:33" s="53" customFormat="1" ht="47" customHeight="1">
      <c r="H22" s="42"/>
      <c r="K22" s="54"/>
      <c r="L22" s="54"/>
      <c r="M22" s="54"/>
      <c r="N22" s="54"/>
    </row>
    <row r="23" spans="3:33" s="53" customFormat="1" ht="47" customHeight="1">
      <c r="H23" s="42"/>
      <c r="K23" s="54"/>
      <c r="L23" s="54"/>
      <c r="M23" s="54"/>
      <c r="N23" s="54"/>
    </row>
    <row r="24" spans="3:33" s="53" customFormat="1" ht="47" customHeight="1" thickBot="1">
      <c r="H24" s="42"/>
      <c r="K24" s="54"/>
      <c r="L24" s="54"/>
      <c r="M24" s="54"/>
      <c r="N24" s="54"/>
    </row>
    <row r="25" spans="3:33" ht="50" customHeight="1" thickBot="1">
      <c r="C25">
        <v>1</v>
      </c>
      <c r="D25">
        <v>1</v>
      </c>
      <c r="E25" t="s">
        <v>26</v>
      </c>
      <c r="F25" t="s">
        <v>24</v>
      </c>
      <c r="G25">
        <f t="shared" si="0"/>
        <v>4</v>
      </c>
      <c r="H25" s="26">
        <f>COUNTIF(P26:P69,I25)</f>
        <v>0</v>
      </c>
      <c r="I25" t="s">
        <v>45</v>
      </c>
      <c r="K25" s="6"/>
      <c r="L25" s="6"/>
      <c r="N25" s="56"/>
      <c r="O25" s="57" t="s">
        <v>236</v>
      </c>
      <c r="P25" s="36" t="s">
        <v>26</v>
      </c>
      <c r="Q25" s="37" t="s">
        <v>66</v>
      </c>
      <c r="R25" s="37" t="s">
        <v>203</v>
      </c>
      <c r="S25" s="38" t="s">
        <v>204</v>
      </c>
      <c r="T25" s="37"/>
      <c r="U25" s="37" t="s">
        <v>206</v>
      </c>
      <c r="V25" s="37" t="s">
        <v>230</v>
      </c>
      <c r="W25" s="37" t="s">
        <v>208</v>
      </c>
      <c r="X25" s="37" t="s">
        <v>231</v>
      </c>
      <c r="Y25" s="38" t="s">
        <v>233</v>
      </c>
      <c r="Z25" s="23" t="s">
        <v>246</v>
      </c>
      <c r="AA25" s="35" t="s">
        <v>243</v>
      </c>
      <c r="AB25" t="s">
        <v>244</v>
      </c>
      <c r="AC25" t="s">
        <v>245</v>
      </c>
    </row>
    <row r="26" spans="3:33" ht="16">
      <c r="C26">
        <v>1</v>
      </c>
      <c r="D26">
        <v>4</v>
      </c>
      <c r="E26" t="s">
        <v>25</v>
      </c>
      <c r="F26" t="s">
        <v>24</v>
      </c>
      <c r="G26">
        <f t="shared" si="0"/>
        <v>4</v>
      </c>
      <c r="H26" s="26">
        <f>COUNTIF(P26:P69,I26)</f>
        <v>0</v>
      </c>
      <c r="I26" t="s">
        <v>32</v>
      </c>
      <c r="K26" s="6"/>
      <c r="L26" s="6"/>
      <c r="N26" s="58"/>
      <c r="O26" s="59"/>
      <c r="P26" s="47" t="s">
        <v>57</v>
      </c>
      <c r="Q26" s="48" t="s">
        <v>248</v>
      </c>
      <c r="R26" s="48" t="s">
        <v>96</v>
      </c>
      <c r="S26" s="49" t="s">
        <v>15</v>
      </c>
      <c r="T26" s="48"/>
      <c r="U26" s="48">
        <v>3</v>
      </c>
      <c r="V26" s="48">
        <v>1</v>
      </c>
      <c r="W26" s="48">
        <v>2</v>
      </c>
      <c r="X26" s="48">
        <v>1</v>
      </c>
      <c r="Y26" s="49">
        <v>4</v>
      </c>
      <c r="Z26" s="26" t="str">
        <f>CONCATENATE(P26,Q26,R26,S26)</f>
        <v>Anne PuglieseCS 603T05:00PM - 07:20PM</v>
      </c>
      <c r="AA26" t="str">
        <f>CONCATENATE(P26,R26,S26)</f>
        <v>Anne PuglieseT05:00PM - 07:20PM</v>
      </c>
      <c r="AB26">
        <f>COUNTIF($Z$26:$Z$69,CONCATENATE($P26,$Q26,$R26,$S26))-1</f>
        <v>0</v>
      </c>
      <c r="AC26">
        <f>COUNTIF($AA$26:$AA$69,CONCATENATE(P26,R26,S26))-1</f>
        <v>0</v>
      </c>
      <c r="AE26">
        <f t="shared" ref="AE26:AE44" ca="1" si="1">COUNTIF($Z$26:$Z$69,_xlfn.CONCAT($P26,$Q26,$R26,$S26))</f>
        <v>0</v>
      </c>
      <c r="AF26" s="55"/>
      <c r="AG26" s="55"/>
    </row>
    <row r="27" spans="3:33" ht="16">
      <c r="C27">
        <v>1</v>
      </c>
      <c r="D27">
        <v>6</v>
      </c>
      <c r="E27" t="s">
        <v>49</v>
      </c>
      <c r="F27" t="s">
        <v>37</v>
      </c>
      <c r="G27">
        <f t="shared" si="0"/>
        <v>2</v>
      </c>
      <c r="H27" s="26">
        <f>COUNTIF(P26:P69,I27)</f>
        <v>0</v>
      </c>
      <c r="I27" t="s">
        <v>55</v>
      </c>
      <c r="K27" s="6"/>
      <c r="L27" s="6"/>
      <c r="N27" s="60"/>
      <c r="O27" s="61"/>
      <c r="P27" s="44" t="s">
        <v>57</v>
      </c>
      <c r="Q27" s="45" t="s">
        <v>249</v>
      </c>
      <c r="R27" s="45" t="s">
        <v>79</v>
      </c>
      <c r="S27" s="46" t="s">
        <v>15</v>
      </c>
      <c r="T27" s="45"/>
      <c r="U27" s="45">
        <v>3</v>
      </c>
      <c r="V27" s="45">
        <v>4</v>
      </c>
      <c r="W27" s="45">
        <v>1</v>
      </c>
      <c r="X27" s="45">
        <v>1</v>
      </c>
      <c r="Y27" s="46">
        <v>1</v>
      </c>
      <c r="Z27" s="26" t="str">
        <f t="shared" ref="Z27:Z69" si="2">CONCATENATE(P27,Q27,R27,S27)</f>
        <v>Anne PuglieseCS 610M05:00PM - 07:20PM</v>
      </c>
      <c r="AA27" t="str">
        <f t="shared" ref="AA27:AA69" si="3">CONCATENATE(P27,R27,S27)</f>
        <v>Anne PuglieseM05:00PM - 07:20PM</v>
      </c>
      <c r="AB27">
        <f t="shared" ref="AB27:AB70" si="4">COUNTIF($Z$26:$Z$69,CONCATENATE($P27,$Q27,$R27,$S27))-1</f>
        <v>0</v>
      </c>
      <c r="AC27">
        <f t="shared" ref="AC27:AC70" si="5">COUNTIF($AA$26:$AA$69,CONCATENATE(P27,R27,S27))-1</f>
        <v>0</v>
      </c>
      <c r="AE27">
        <f t="shared" ca="1" si="1"/>
        <v>0</v>
      </c>
      <c r="AF27" s="55"/>
      <c r="AG27" s="55"/>
    </row>
    <row r="28" spans="3:33" ht="16">
      <c r="C28">
        <v>1</v>
      </c>
      <c r="D28">
        <v>6</v>
      </c>
      <c r="E28" t="s">
        <v>49</v>
      </c>
      <c r="F28" t="s">
        <v>37</v>
      </c>
      <c r="G28">
        <f t="shared" si="0"/>
        <v>2</v>
      </c>
      <c r="H28" s="26">
        <f>COUNTIF(P26:P69,I28)</f>
        <v>0</v>
      </c>
      <c r="I28" t="s">
        <v>50</v>
      </c>
      <c r="K28" s="6"/>
      <c r="L28" s="6"/>
      <c r="M28" s="6"/>
      <c r="N28" s="68" t="s">
        <v>209</v>
      </c>
      <c r="O28" s="62"/>
      <c r="P28" s="41" t="s">
        <v>57</v>
      </c>
      <c r="Q28" s="42" t="s">
        <v>83</v>
      </c>
      <c r="R28" s="42" t="s">
        <v>101</v>
      </c>
      <c r="S28" s="43" t="s">
        <v>15</v>
      </c>
      <c r="T28" s="42"/>
      <c r="U28" s="42">
        <v>3</v>
      </c>
      <c r="V28" s="42">
        <v>5</v>
      </c>
      <c r="W28" s="42">
        <v>3</v>
      </c>
      <c r="X28" s="42">
        <v>1</v>
      </c>
      <c r="Y28" s="43">
        <v>9</v>
      </c>
      <c r="Z28" s="26" t="str">
        <f t="shared" si="2"/>
        <v>Anne PuglieseCS 620W05:00PM - 07:20PM</v>
      </c>
      <c r="AA28" t="str">
        <f t="shared" si="3"/>
        <v>Anne PuglieseW05:00PM - 07:20PM</v>
      </c>
      <c r="AB28">
        <f t="shared" si="4"/>
        <v>0</v>
      </c>
      <c r="AC28">
        <f t="shared" si="5"/>
        <v>0</v>
      </c>
      <c r="AE28">
        <f t="shared" ca="1" si="1"/>
        <v>0</v>
      </c>
    </row>
    <row r="29" spans="3:33" ht="16">
      <c r="C29">
        <v>1</v>
      </c>
      <c r="D29">
        <v>6</v>
      </c>
      <c r="E29" t="s">
        <v>49</v>
      </c>
      <c r="F29" t="s">
        <v>37</v>
      </c>
      <c r="G29">
        <f t="shared" si="0"/>
        <v>2</v>
      </c>
      <c r="H29" s="26">
        <f>COUNTIF(P26:P69,I29)</f>
        <v>0</v>
      </c>
      <c r="I29" t="s">
        <v>52</v>
      </c>
      <c r="K29" s="6"/>
      <c r="L29" s="6"/>
      <c r="M29" s="6"/>
      <c r="N29" s="68"/>
      <c r="O29" s="62"/>
      <c r="P29" s="44" t="s">
        <v>57</v>
      </c>
      <c r="Q29" s="45" t="s">
        <v>83</v>
      </c>
      <c r="R29" s="45" t="s">
        <v>86</v>
      </c>
      <c r="S29" s="46" t="s">
        <v>250</v>
      </c>
      <c r="T29" s="45"/>
      <c r="U29" s="45">
        <v>3</v>
      </c>
      <c r="V29" s="45">
        <v>5</v>
      </c>
      <c r="W29" s="45">
        <v>4</v>
      </c>
      <c r="X29" s="45">
        <v>2</v>
      </c>
      <c r="Y29" s="46">
        <v>32</v>
      </c>
      <c r="Z29" s="26" t="str">
        <f t="shared" si="2"/>
        <v>Anne PuglieseCS 620R07:30PM - 9:50PM</v>
      </c>
      <c r="AA29" t="str">
        <f t="shared" si="3"/>
        <v>Anne PuglieseR07:30PM - 9:50PM</v>
      </c>
      <c r="AB29">
        <f t="shared" si="4"/>
        <v>0</v>
      </c>
      <c r="AC29">
        <f t="shared" si="5"/>
        <v>0</v>
      </c>
      <c r="AE29">
        <f t="shared" ca="1" si="1"/>
        <v>0</v>
      </c>
    </row>
    <row r="30" spans="3:33" ht="18">
      <c r="C30">
        <v>1</v>
      </c>
      <c r="D30">
        <v>2</v>
      </c>
      <c r="E30" t="s">
        <v>28</v>
      </c>
      <c r="F30" t="s">
        <v>24</v>
      </c>
      <c r="G30">
        <f t="shared" si="0"/>
        <v>4</v>
      </c>
      <c r="H30" s="26">
        <f>COUNTIF(P26:P69,I30)</f>
        <v>0</v>
      </c>
      <c r="I30" t="s">
        <v>33</v>
      </c>
      <c r="K30" s="6"/>
      <c r="L30" s="6"/>
      <c r="M30" s="6"/>
      <c r="N30" s="63"/>
      <c r="O30" s="62"/>
      <c r="P30" s="41"/>
      <c r="Q30" s="42"/>
      <c r="R30" s="42"/>
      <c r="S30" s="43"/>
      <c r="T30" s="42"/>
      <c r="U30" s="42"/>
      <c r="V30" s="42"/>
      <c r="W30" s="42"/>
      <c r="X30" s="42"/>
      <c r="Y30" s="43"/>
      <c r="Z30" s="26" t="str">
        <f t="shared" si="2"/>
        <v/>
      </c>
      <c r="AA30" t="str">
        <f t="shared" si="3"/>
        <v/>
      </c>
      <c r="AB30">
        <f t="shared" si="4"/>
        <v>39</v>
      </c>
      <c r="AC30">
        <f t="shared" si="5"/>
        <v>39</v>
      </c>
      <c r="AE30">
        <f t="shared" ca="1" si="1"/>
        <v>0</v>
      </c>
    </row>
    <row r="31" spans="3:33" ht="16">
      <c r="C31">
        <v>1</v>
      </c>
      <c r="D31">
        <v>6</v>
      </c>
      <c r="E31" t="s">
        <v>49</v>
      </c>
      <c r="F31" t="s">
        <v>37</v>
      </c>
      <c r="G31">
        <f t="shared" si="0"/>
        <v>2</v>
      </c>
      <c r="H31" s="26">
        <f>COUNTIF(P26:P69,I31)</f>
        <v>0</v>
      </c>
      <c r="I31" t="s">
        <v>62</v>
      </c>
      <c r="K31" s="6"/>
      <c r="L31" s="6"/>
      <c r="M31" s="6"/>
      <c r="N31" s="68" t="s">
        <v>210</v>
      </c>
      <c r="O31" s="62"/>
      <c r="P31" s="44"/>
      <c r="Q31" s="45"/>
      <c r="R31" s="45"/>
      <c r="S31" s="46"/>
      <c r="T31" s="45"/>
      <c r="U31" s="45"/>
      <c r="V31" s="45"/>
      <c r="W31" s="45"/>
      <c r="X31" s="45"/>
      <c r="Y31" s="46"/>
      <c r="Z31" s="26" t="str">
        <f t="shared" si="2"/>
        <v/>
      </c>
      <c r="AA31" t="str">
        <f t="shared" si="3"/>
        <v/>
      </c>
      <c r="AB31">
        <f t="shared" si="4"/>
        <v>39</v>
      </c>
      <c r="AC31">
        <f t="shared" si="5"/>
        <v>39</v>
      </c>
      <c r="AE31">
        <f t="shared" ca="1" si="1"/>
        <v>0</v>
      </c>
    </row>
    <row r="32" spans="3:33" ht="16">
      <c r="C32">
        <v>1</v>
      </c>
      <c r="D32">
        <v>6</v>
      </c>
      <c r="E32" t="s">
        <v>49</v>
      </c>
      <c r="F32" t="s">
        <v>37</v>
      </c>
      <c r="G32">
        <f t="shared" si="0"/>
        <v>2</v>
      </c>
      <c r="H32" s="26">
        <f>COUNTIF(P26:P69,I32)</f>
        <v>0</v>
      </c>
      <c r="I32" t="s">
        <v>63</v>
      </c>
      <c r="K32" s="6"/>
      <c r="L32" s="6"/>
      <c r="M32" s="6"/>
      <c r="N32" s="68"/>
      <c r="O32" s="62"/>
      <c r="P32" s="41"/>
      <c r="Q32" s="42"/>
      <c r="R32" s="42"/>
      <c r="S32" s="43"/>
      <c r="T32" s="42"/>
      <c r="U32" s="42"/>
      <c r="V32" s="42"/>
      <c r="W32" s="42"/>
      <c r="X32" s="42"/>
      <c r="Y32" s="43"/>
      <c r="Z32" s="26" t="str">
        <f t="shared" si="2"/>
        <v/>
      </c>
      <c r="AA32" t="str">
        <f t="shared" si="3"/>
        <v/>
      </c>
      <c r="AB32">
        <f t="shared" si="4"/>
        <v>39</v>
      </c>
      <c r="AC32">
        <f t="shared" si="5"/>
        <v>39</v>
      </c>
      <c r="AE32">
        <f t="shared" ca="1" si="1"/>
        <v>0</v>
      </c>
    </row>
    <row r="33" spans="3:31" ht="19">
      <c r="C33">
        <v>1</v>
      </c>
      <c r="D33">
        <v>2</v>
      </c>
      <c r="E33" t="s">
        <v>28</v>
      </c>
      <c r="F33" t="s">
        <v>24</v>
      </c>
      <c r="G33">
        <f t="shared" si="0"/>
        <v>4</v>
      </c>
      <c r="H33" s="26">
        <f>COUNTIF(P26:P69,I33)</f>
        <v>0</v>
      </c>
      <c r="I33" t="s">
        <v>27</v>
      </c>
      <c r="K33" s="6"/>
      <c r="L33" s="6"/>
      <c r="M33" s="6"/>
      <c r="N33" s="64"/>
      <c r="O33" s="62"/>
      <c r="P33" s="44"/>
      <c r="Q33" s="45"/>
      <c r="R33" s="45"/>
      <c r="S33" s="46"/>
      <c r="T33" s="45"/>
      <c r="U33" s="45"/>
      <c r="V33" s="45"/>
      <c r="W33" s="45"/>
      <c r="X33" s="45"/>
      <c r="Y33" s="46"/>
      <c r="Z33" s="26" t="str">
        <f t="shared" si="2"/>
        <v/>
      </c>
      <c r="AA33" t="str">
        <f t="shared" si="3"/>
        <v/>
      </c>
      <c r="AB33">
        <f t="shared" si="4"/>
        <v>39</v>
      </c>
      <c r="AC33">
        <f t="shared" si="5"/>
        <v>39</v>
      </c>
      <c r="AE33">
        <f t="shared" ca="1" si="1"/>
        <v>0</v>
      </c>
    </row>
    <row r="34" spans="3:31" ht="16">
      <c r="C34">
        <v>1</v>
      </c>
      <c r="D34">
        <v>6</v>
      </c>
      <c r="E34" t="s">
        <v>49</v>
      </c>
      <c r="F34" t="s">
        <v>37</v>
      </c>
      <c r="G34">
        <f t="shared" si="0"/>
        <v>2</v>
      </c>
      <c r="H34" s="26">
        <f>COUNTIF(P26:P69,I34)</f>
        <v>0</v>
      </c>
      <c r="I34" t="s">
        <v>58</v>
      </c>
      <c r="K34" s="6"/>
      <c r="L34" s="6"/>
      <c r="M34" s="6"/>
      <c r="N34" s="68" t="s">
        <v>211</v>
      </c>
      <c r="O34" s="62"/>
      <c r="P34" s="41"/>
      <c r="Q34" s="42"/>
      <c r="R34" s="42"/>
      <c r="S34" s="43"/>
      <c r="T34" s="42"/>
      <c r="U34" s="42"/>
      <c r="V34" s="42"/>
      <c r="W34" s="42"/>
      <c r="X34" s="42"/>
      <c r="Y34" s="43"/>
      <c r="Z34" s="26" t="str">
        <f t="shared" si="2"/>
        <v/>
      </c>
      <c r="AA34" t="str">
        <f t="shared" si="3"/>
        <v/>
      </c>
      <c r="AB34">
        <f t="shared" si="4"/>
        <v>39</v>
      </c>
      <c r="AC34">
        <f t="shared" si="5"/>
        <v>39</v>
      </c>
      <c r="AE34">
        <f t="shared" ca="1" si="1"/>
        <v>0</v>
      </c>
    </row>
    <row r="35" spans="3:31" ht="16">
      <c r="C35">
        <v>1</v>
      </c>
      <c r="D35">
        <v>3</v>
      </c>
      <c r="E35" t="s">
        <v>36</v>
      </c>
      <c r="F35" t="s">
        <v>24</v>
      </c>
      <c r="G35">
        <f t="shared" si="0"/>
        <v>4</v>
      </c>
      <c r="H35" s="26">
        <f>COUNTIF(P26:P69,I35)</f>
        <v>0</v>
      </c>
      <c r="I35" t="s">
        <v>35</v>
      </c>
      <c r="K35" s="6"/>
      <c r="L35" s="6"/>
      <c r="M35" s="6"/>
      <c r="N35" s="68"/>
      <c r="O35" s="62"/>
      <c r="P35" s="44"/>
      <c r="Q35" s="45"/>
      <c r="R35" s="45"/>
      <c r="S35" s="46"/>
      <c r="T35" s="45"/>
      <c r="U35" s="45"/>
      <c r="V35" s="45"/>
      <c r="W35" s="45"/>
      <c r="X35" s="45"/>
      <c r="Y35" s="46"/>
      <c r="Z35" s="26" t="str">
        <f t="shared" si="2"/>
        <v/>
      </c>
      <c r="AA35" t="str">
        <f t="shared" si="3"/>
        <v/>
      </c>
      <c r="AB35">
        <f t="shared" si="4"/>
        <v>39</v>
      </c>
      <c r="AC35">
        <f t="shared" si="5"/>
        <v>39</v>
      </c>
      <c r="AE35">
        <f t="shared" ca="1" si="1"/>
        <v>0</v>
      </c>
    </row>
    <row r="36" spans="3:31" ht="19">
      <c r="C36">
        <v>1</v>
      </c>
      <c r="D36">
        <v>1</v>
      </c>
      <c r="E36" t="s">
        <v>26</v>
      </c>
      <c r="F36" t="s">
        <v>24</v>
      </c>
      <c r="G36">
        <f t="shared" si="0"/>
        <v>4</v>
      </c>
      <c r="H36" s="26">
        <f>COUNTIF(P26:P69,I36)</f>
        <v>0</v>
      </c>
      <c r="I36" t="s">
        <v>38</v>
      </c>
      <c r="K36" s="6"/>
      <c r="L36" s="6"/>
      <c r="M36" s="6"/>
      <c r="N36" s="64"/>
      <c r="O36" s="62"/>
      <c r="P36" s="41"/>
      <c r="Q36" s="42"/>
      <c r="R36" s="42"/>
      <c r="S36" s="43"/>
      <c r="T36" s="42"/>
      <c r="U36" s="42"/>
      <c r="V36" s="42"/>
      <c r="W36" s="42"/>
      <c r="X36" s="42"/>
      <c r="Y36" s="43"/>
      <c r="Z36" s="26" t="str">
        <f t="shared" si="2"/>
        <v/>
      </c>
      <c r="AA36" t="str">
        <f t="shared" si="3"/>
        <v/>
      </c>
      <c r="AB36">
        <f t="shared" si="4"/>
        <v>39</v>
      </c>
      <c r="AC36">
        <f t="shared" si="5"/>
        <v>39</v>
      </c>
      <c r="AE36">
        <f t="shared" ca="1" si="1"/>
        <v>0</v>
      </c>
    </row>
    <row r="37" spans="3:31" ht="16">
      <c r="C37">
        <v>1</v>
      </c>
      <c r="D37">
        <v>3</v>
      </c>
      <c r="E37" t="s">
        <v>36</v>
      </c>
      <c r="F37" t="s">
        <v>24</v>
      </c>
      <c r="G37">
        <f t="shared" si="0"/>
        <v>4</v>
      </c>
      <c r="H37" s="26">
        <f>COUNTIF(P26:P69,I37)</f>
        <v>0</v>
      </c>
      <c r="I37" t="s">
        <v>40</v>
      </c>
      <c r="K37" s="6"/>
      <c r="L37" s="6"/>
      <c r="M37" s="6"/>
      <c r="N37" s="68" t="s">
        <v>212</v>
      </c>
      <c r="O37" s="62"/>
      <c r="P37" s="44"/>
      <c r="Q37" s="45"/>
      <c r="R37" s="45"/>
      <c r="S37" s="46"/>
      <c r="T37" s="45"/>
      <c r="U37" s="45"/>
      <c r="V37" s="45"/>
      <c r="W37" s="45"/>
      <c r="X37" s="45"/>
      <c r="Y37" s="46"/>
      <c r="Z37" s="26" t="str">
        <f t="shared" si="2"/>
        <v/>
      </c>
      <c r="AA37" t="str">
        <f t="shared" si="3"/>
        <v/>
      </c>
      <c r="AB37">
        <f t="shared" si="4"/>
        <v>39</v>
      </c>
      <c r="AC37">
        <f t="shared" si="5"/>
        <v>39</v>
      </c>
      <c r="AE37">
        <f t="shared" ca="1" si="1"/>
        <v>0</v>
      </c>
    </row>
    <row r="38" spans="3:31" ht="16">
      <c r="G38" s="6"/>
      <c r="H38" s="6"/>
      <c r="N38" s="68"/>
      <c r="O38" s="62"/>
      <c r="P38" s="41"/>
      <c r="Q38" s="42"/>
      <c r="R38" s="42"/>
      <c r="S38" s="43"/>
      <c r="T38" s="42"/>
      <c r="U38" s="42"/>
      <c r="V38" s="42"/>
      <c r="W38" s="42"/>
      <c r="X38" s="42"/>
      <c r="Y38" s="43"/>
      <c r="Z38" s="26" t="str">
        <f t="shared" si="2"/>
        <v/>
      </c>
      <c r="AA38" t="str">
        <f t="shared" si="3"/>
        <v/>
      </c>
      <c r="AB38">
        <f t="shared" si="4"/>
        <v>39</v>
      </c>
      <c r="AC38">
        <f t="shared" si="5"/>
        <v>39</v>
      </c>
      <c r="AE38">
        <f t="shared" ca="1" si="1"/>
        <v>0</v>
      </c>
    </row>
    <row r="39" spans="3:31" ht="16">
      <c r="G39" s="6"/>
      <c r="H39" s="6"/>
      <c r="N39" s="65"/>
      <c r="O39" s="62"/>
      <c r="P39" s="44"/>
      <c r="Q39" s="45"/>
      <c r="R39" s="45"/>
      <c r="S39" s="46"/>
      <c r="T39" s="45"/>
      <c r="U39" s="45"/>
      <c r="V39" s="45"/>
      <c r="W39" s="45"/>
      <c r="X39" s="45"/>
      <c r="Y39" s="46"/>
      <c r="Z39" s="26" t="str">
        <f t="shared" si="2"/>
        <v/>
      </c>
      <c r="AA39" t="str">
        <f t="shared" si="3"/>
        <v/>
      </c>
      <c r="AB39">
        <f t="shared" si="4"/>
        <v>39</v>
      </c>
      <c r="AC39">
        <f t="shared" si="5"/>
        <v>39</v>
      </c>
      <c r="AE39">
        <f t="shared" ca="1" si="1"/>
        <v>0</v>
      </c>
    </row>
    <row r="40" spans="3:31" ht="16">
      <c r="G40" s="6"/>
      <c r="H40" s="6"/>
      <c r="N40" s="65"/>
      <c r="O40" s="62"/>
      <c r="P40" s="41"/>
      <c r="Q40" s="42"/>
      <c r="R40" s="42"/>
      <c r="S40" s="43"/>
      <c r="T40" s="42"/>
      <c r="U40" s="42"/>
      <c r="V40" s="42"/>
      <c r="W40" s="42"/>
      <c r="X40" s="42"/>
      <c r="Y40" s="43"/>
      <c r="Z40" s="26" t="str">
        <f t="shared" si="2"/>
        <v/>
      </c>
      <c r="AA40" t="str">
        <f t="shared" si="3"/>
        <v/>
      </c>
      <c r="AB40">
        <f t="shared" si="4"/>
        <v>39</v>
      </c>
      <c r="AC40">
        <f t="shared" si="5"/>
        <v>39</v>
      </c>
      <c r="AE40">
        <f t="shared" ca="1" si="1"/>
        <v>0</v>
      </c>
    </row>
    <row r="41" spans="3:31" ht="16">
      <c r="G41" s="6"/>
      <c r="H41" s="6"/>
      <c r="N41" s="65"/>
      <c r="O41" s="62"/>
      <c r="P41" s="44"/>
      <c r="Q41" s="45"/>
      <c r="R41" s="45"/>
      <c r="S41" s="46"/>
      <c r="T41" s="45"/>
      <c r="U41" s="45"/>
      <c r="V41" s="45"/>
      <c r="W41" s="45"/>
      <c r="X41" s="45"/>
      <c r="Y41" s="46"/>
      <c r="Z41" s="26" t="str">
        <f t="shared" si="2"/>
        <v/>
      </c>
      <c r="AA41" t="str">
        <f>CONCATENATE(P41,R41,S41)</f>
        <v/>
      </c>
      <c r="AB41">
        <f t="shared" si="4"/>
        <v>39</v>
      </c>
      <c r="AC41">
        <f t="shared" si="5"/>
        <v>39</v>
      </c>
      <c r="AE41">
        <f t="shared" ca="1" si="1"/>
        <v>0</v>
      </c>
    </row>
    <row r="42" spans="3:31" ht="17" thickBot="1">
      <c r="G42" s="6"/>
      <c r="H42" s="6"/>
      <c r="N42" s="66"/>
      <c r="O42" s="67"/>
      <c r="P42" s="41"/>
      <c r="Q42" s="42"/>
      <c r="R42" s="42"/>
      <c r="S42" s="43"/>
      <c r="T42" s="42"/>
      <c r="U42" s="42"/>
      <c r="V42" s="42"/>
      <c r="W42" s="42"/>
      <c r="X42" s="42"/>
      <c r="Y42" s="43"/>
      <c r="Z42" s="26" t="str">
        <f t="shared" si="2"/>
        <v/>
      </c>
      <c r="AA42" t="str">
        <f t="shared" si="3"/>
        <v/>
      </c>
      <c r="AB42">
        <f t="shared" si="4"/>
        <v>39</v>
      </c>
      <c r="AC42">
        <f t="shared" si="5"/>
        <v>39</v>
      </c>
      <c r="AE42">
        <f t="shared" ca="1" si="1"/>
        <v>0</v>
      </c>
    </row>
    <row r="43" spans="3:31" ht="16">
      <c r="G43" s="6"/>
      <c r="H43" s="6"/>
      <c r="P43" s="44"/>
      <c r="Q43" s="45"/>
      <c r="R43" s="45"/>
      <c r="S43" s="46"/>
      <c r="T43" s="45"/>
      <c r="U43" s="45"/>
      <c r="V43" s="45"/>
      <c r="W43" s="45"/>
      <c r="X43" s="45"/>
      <c r="Y43" s="46"/>
      <c r="Z43" s="26" t="str">
        <f t="shared" si="2"/>
        <v/>
      </c>
      <c r="AA43" t="str">
        <f t="shared" si="3"/>
        <v/>
      </c>
      <c r="AB43">
        <f t="shared" si="4"/>
        <v>39</v>
      </c>
      <c r="AC43">
        <f t="shared" si="5"/>
        <v>39</v>
      </c>
      <c r="AE43">
        <f t="shared" ca="1" si="1"/>
        <v>0</v>
      </c>
    </row>
    <row r="44" spans="3:31" ht="16">
      <c r="G44" s="6"/>
      <c r="H44" s="6"/>
      <c r="P44" s="41"/>
      <c r="Q44" s="42"/>
      <c r="R44" s="42"/>
      <c r="S44" s="43"/>
      <c r="T44" s="42"/>
      <c r="U44" s="42"/>
      <c r="V44" s="42"/>
      <c r="W44" s="42"/>
      <c r="X44" s="42"/>
      <c r="Y44" s="43"/>
      <c r="Z44" s="26" t="str">
        <f t="shared" si="2"/>
        <v/>
      </c>
      <c r="AA44" t="str">
        <f t="shared" si="3"/>
        <v/>
      </c>
      <c r="AB44">
        <f t="shared" si="4"/>
        <v>39</v>
      </c>
      <c r="AC44">
        <f t="shared" si="5"/>
        <v>39</v>
      </c>
      <c r="AE44">
        <f t="shared" ca="1" si="1"/>
        <v>0</v>
      </c>
    </row>
    <row r="45" spans="3:31" ht="16">
      <c r="G45" s="6"/>
      <c r="H45" s="6"/>
      <c r="P45" s="44"/>
      <c r="Q45" s="45"/>
      <c r="R45" s="45"/>
      <c r="S45" s="46"/>
      <c r="T45" s="45"/>
      <c r="U45" s="45"/>
      <c r="V45" s="45"/>
      <c r="W45" s="45"/>
      <c r="X45" s="45"/>
      <c r="Y45" s="46"/>
      <c r="Z45" s="26" t="str">
        <f t="shared" si="2"/>
        <v/>
      </c>
      <c r="AA45" t="str">
        <f t="shared" si="3"/>
        <v/>
      </c>
      <c r="AB45">
        <f t="shared" si="4"/>
        <v>39</v>
      </c>
      <c r="AC45">
        <f t="shared" si="5"/>
        <v>39</v>
      </c>
    </row>
    <row r="46" spans="3:31" ht="16">
      <c r="G46" s="6"/>
      <c r="H46" s="6"/>
      <c r="P46" s="41"/>
      <c r="Q46" s="42"/>
      <c r="R46" s="42"/>
      <c r="S46" s="43"/>
      <c r="T46" s="42"/>
      <c r="U46" s="42"/>
      <c r="V46" s="42"/>
      <c r="W46" s="42"/>
      <c r="X46" s="42"/>
      <c r="Y46" s="43"/>
      <c r="Z46" s="26" t="str">
        <f t="shared" si="2"/>
        <v/>
      </c>
      <c r="AA46" t="str">
        <f t="shared" si="3"/>
        <v/>
      </c>
      <c r="AB46">
        <f t="shared" si="4"/>
        <v>39</v>
      </c>
      <c r="AC46">
        <f t="shared" si="5"/>
        <v>39</v>
      </c>
    </row>
    <row r="47" spans="3:31" ht="16">
      <c r="G47" s="6"/>
      <c r="H47" s="6"/>
      <c r="P47" s="44"/>
      <c r="Q47" s="45"/>
      <c r="R47" s="45"/>
      <c r="S47" s="46"/>
      <c r="T47" s="45"/>
      <c r="U47" s="45"/>
      <c r="V47" s="45"/>
      <c r="W47" s="45"/>
      <c r="X47" s="45"/>
      <c r="Y47" s="46"/>
      <c r="Z47" s="26" t="str">
        <f t="shared" si="2"/>
        <v/>
      </c>
      <c r="AA47" t="str">
        <f t="shared" si="3"/>
        <v/>
      </c>
      <c r="AB47">
        <f t="shared" si="4"/>
        <v>39</v>
      </c>
      <c r="AC47">
        <f t="shared" si="5"/>
        <v>39</v>
      </c>
    </row>
    <row r="48" spans="3:31" ht="16">
      <c r="G48" s="6"/>
      <c r="H48" s="6"/>
      <c r="P48" s="41"/>
      <c r="Q48" s="42"/>
      <c r="R48" s="42"/>
      <c r="S48" s="43"/>
      <c r="T48" s="42"/>
      <c r="U48" s="42"/>
      <c r="V48" s="42"/>
      <c r="W48" s="42"/>
      <c r="X48" s="42"/>
      <c r="Y48" s="43"/>
      <c r="Z48" s="26" t="str">
        <f t="shared" si="2"/>
        <v/>
      </c>
      <c r="AA48" t="str">
        <f t="shared" si="3"/>
        <v/>
      </c>
      <c r="AB48">
        <f t="shared" si="4"/>
        <v>39</v>
      </c>
      <c r="AC48">
        <f t="shared" si="5"/>
        <v>39</v>
      </c>
    </row>
    <row r="49" spans="7:29" ht="16">
      <c r="G49" s="6"/>
      <c r="H49" s="6"/>
      <c r="P49" s="44"/>
      <c r="Q49" s="45"/>
      <c r="R49" s="45"/>
      <c r="S49" s="46"/>
      <c r="T49" s="45"/>
      <c r="U49" s="45"/>
      <c r="V49" s="45"/>
      <c r="W49" s="45"/>
      <c r="X49" s="45"/>
      <c r="Y49" s="46"/>
      <c r="Z49" s="26" t="str">
        <f t="shared" si="2"/>
        <v/>
      </c>
      <c r="AA49" t="str">
        <f t="shared" si="3"/>
        <v/>
      </c>
      <c r="AB49">
        <f t="shared" si="4"/>
        <v>39</v>
      </c>
      <c r="AC49">
        <f t="shared" si="5"/>
        <v>39</v>
      </c>
    </row>
    <row r="50" spans="7:29" ht="16">
      <c r="G50" s="6"/>
      <c r="H50" s="6"/>
      <c r="P50" s="41"/>
      <c r="Q50" s="42"/>
      <c r="R50" s="42"/>
      <c r="S50" s="43"/>
      <c r="T50" s="42"/>
      <c r="U50" s="42"/>
      <c r="V50" s="42"/>
      <c r="W50" s="42"/>
      <c r="X50" s="42"/>
      <c r="Y50" s="43"/>
      <c r="Z50" s="26" t="str">
        <f t="shared" si="2"/>
        <v/>
      </c>
      <c r="AA50" t="str">
        <f t="shared" si="3"/>
        <v/>
      </c>
      <c r="AB50">
        <f t="shared" si="4"/>
        <v>39</v>
      </c>
      <c r="AC50">
        <f t="shared" si="5"/>
        <v>39</v>
      </c>
    </row>
    <row r="51" spans="7:29" ht="16">
      <c r="G51" s="6"/>
      <c r="H51" s="6"/>
      <c r="P51" s="44"/>
      <c r="Q51" s="45"/>
      <c r="R51" s="45"/>
      <c r="S51" s="46"/>
      <c r="T51" s="45"/>
      <c r="U51" s="45"/>
      <c r="V51" s="45"/>
      <c r="W51" s="45"/>
      <c r="X51" s="45"/>
      <c r="Y51" s="46"/>
      <c r="Z51" s="26" t="str">
        <f t="shared" si="2"/>
        <v/>
      </c>
      <c r="AA51" t="str">
        <f>CONCATENATE(P51,R51,S51)</f>
        <v/>
      </c>
      <c r="AB51">
        <f t="shared" si="4"/>
        <v>39</v>
      </c>
      <c r="AC51">
        <f t="shared" si="5"/>
        <v>39</v>
      </c>
    </row>
    <row r="52" spans="7:29" ht="16">
      <c r="G52" s="6"/>
      <c r="H52" s="6"/>
      <c r="P52" s="41"/>
      <c r="Q52" s="42"/>
      <c r="R52" s="42"/>
      <c r="S52" s="43"/>
      <c r="T52" s="42"/>
      <c r="U52" s="42"/>
      <c r="V52" s="42"/>
      <c r="W52" s="42"/>
      <c r="X52" s="42"/>
      <c r="Y52" s="43"/>
      <c r="Z52" s="26" t="str">
        <f t="shared" si="2"/>
        <v/>
      </c>
      <c r="AA52" t="str">
        <f t="shared" si="3"/>
        <v/>
      </c>
      <c r="AB52">
        <f t="shared" si="4"/>
        <v>39</v>
      </c>
      <c r="AC52">
        <f t="shared" si="5"/>
        <v>39</v>
      </c>
    </row>
    <row r="53" spans="7:29" ht="16">
      <c r="G53" s="6"/>
      <c r="H53" s="6"/>
      <c r="P53" s="44"/>
      <c r="Q53" s="45"/>
      <c r="R53" s="45"/>
      <c r="S53" s="46"/>
      <c r="T53" s="45"/>
      <c r="U53" s="45"/>
      <c r="V53" s="45"/>
      <c r="W53" s="45"/>
      <c r="X53" s="45"/>
      <c r="Y53" s="46"/>
      <c r="Z53" s="26" t="str">
        <f t="shared" si="2"/>
        <v/>
      </c>
      <c r="AA53" t="str">
        <f t="shared" si="3"/>
        <v/>
      </c>
      <c r="AB53">
        <f t="shared" si="4"/>
        <v>39</v>
      </c>
      <c r="AC53">
        <f t="shared" si="5"/>
        <v>39</v>
      </c>
    </row>
    <row r="54" spans="7:29" ht="16">
      <c r="G54" s="6"/>
      <c r="H54" s="6"/>
      <c r="P54" s="41"/>
      <c r="Q54" s="42"/>
      <c r="R54" s="42"/>
      <c r="S54" s="43"/>
      <c r="T54" s="42"/>
      <c r="U54" s="42"/>
      <c r="V54" s="42"/>
      <c r="W54" s="42"/>
      <c r="X54" s="42"/>
      <c r="Y54" s="43"/>
      <c r="Z54" s="26" t="str">
        <f t="shared" si="2"/>
        <v/>
      </c>
      <c r="AA54" t="str">
        <f t="shared" si="3"/>
        <v/>
      </c>
      <c r="AB54">
        <f t="shared" si="4"/>
        <v>39</v>
      </c>
      <c r="AC54">
        <f t="shared" si="5"/>
        <v>39</v>
      </c>
    </row>
    <row r="55" spans="7:29" ht="16">
      <c r="G55" s="6"/>
      <c r="H55" s="6"/>
      <c r="P55" s="44"/>
      <c r="Q55" s="45"/>
      <c r="R55" s="45"/>
      <c r="S55" s="46"/>
      <c r="T55" s="45"/>
      <c r="U55" s="45"/>
      <c r="V55" s="45"/>
      <c r="W55" s="45"/>
      <c r="X55" s="45"/>
      <c r="Y55" s="46"/>
      <c r="Z55" s="26" t="str">
        <f t="shared" si="2"/>
        <v/>
      </c>
      <c r="AA55" t="str">
        <f t="shared" si="3"/>
        <v/>
      </c>
      <c r="AB55">
        <f t="shared" si="4"/>
        <v>39</v>
      </c>
      <c r="AC55">
        <f t="shared" si="5"/>
        <v>39</v>
      </c>
    </row>
    <row r="56" spans="7:29" ht="16">
      <c r="G56" s="6"/>
      <c r="H56" s="6"/>
      <c r="P56" s="41"/>
      <c r="Q56" s="42"/>
      <c r="R56" s="42"/>
      <c r="S56" s="43"/>
      <c r="T56" s="42"/>
      <c r="U56" s="42"/>
      <c r="V56" s="42"/>
      <c r="W56" s="42"/>
      <c r="X56" s="42"/>
      <c r="Y56" s="43"/>
      <c r="Z56" s="26" t="str">
        <f t="shared" si="2"/>
        <v/>
      </c>
      <c r="AA56" t="str">
        <f t="shared" si="3"/>
        <v/>
      </c>
      <c r="AB56">
        <f t="shared" si="4"/>
        <v>39</v>
      </c>
      <c r="AC56">
        <f t="shared" si="5"/>
        <v>39</v>
      </c>
    </row>
    <row r="57" spans="7:29" ht="16">
      <c r="G57" s="6"/>
      <c r="H57" s="6"/>
      <c r="P57" s="44"/>
      <c r="Q57" s="45"/>
      <c r="R57" s="45"/>
      <c r="S57" s="46"/>
      <c r="T57" s="45"/>
      <c r="U57" s="45"/>
      <c r="V57" s="45"/>
      <c r="W57" s="45"/>
      <c r="X57" s="45"/>
      <c r="Y57" s="46"/>
      <c r="Z57" s="26" t="str">
        <f t="shared" si="2"/>
        <v/>
      </c>
      <c r="AA57" t="str">
        <f t="shared" si="3"/>
        <v/>
      </c>
      <c r="AB57">
        <f t="shared" si="4"/>
        <v>39</v>
      </c>
      <c r="AC57">
        <f t="shared" si="5"/>
        <v>39</v>
      </c>
    </row>
    <row r="58" spans="7:29" ht="16">
      <c r="G58" s="6"/>
      <c r="H58" s="6"/>
      <c r="P58" s="41"/>
      <c r="Q58" s="42"/>
      <c r="R58" s="42"/>
      <c r="S58" s="43"/>
      <c r="T58" s="42"/>
      <c r="U58" s="42"/>
      <c r="V58" s="42"/>
      <c r="W58" s="42"/>
      <c r="X58" s="42"/>
      <c r="Y58" s="43"/>
      <c r="Z58" s="26" t="str">
        <f t="shared" si="2"/>
        <v/>
      </c>
      <c r="AA58" t="str">
        <f t="shared" si="3"/>
        <v/>
      </c>
      <c r="AB58">
        <f t="shared" si="4"/>
        <v>39</v>
      </c>
      <c r="AC58">
        <f t="shared" si="5"/>
        <v>39</v>
      </c>
    </row>
    <row r="59" spans="7:29">
      <c r="P59" s="44"/>
      <c r="Q59" s="45"/>
      <c r="R59" s="45"/>
      <c r="S59" s="46"/>
      <c r="T59" s="45"/>
      <c r="U59" s="45"/>
      <c r="V59" s="45"/>
      <c r="W59" s="45"/>
      <c r="X59" s="45"/>
      <c r="Y59" s="46"/>
      <c r="Z59" s="26" t="str">
        <f t="shared" si="2"/>
        <v/>
      </c>
      <c r="AA59" t="str">
        <f t="shared" si="3"/>
        <v/>
      </c>
      <c r="AB59">
        <f t="shared" si="4"/>
        <v>39</v>
      </c>
      <c r="AC59">
        <f t="shared" si="5"/>
        <v>39</v>
      </c>
    </row>
    <row r="60" spans="7:29">
      <c r="P60" s="41"/>
      <c r="Q60" s="42"/>
      <c r="R60" s="42"/>
      <c r="S60" s="43"/>
      <c r="T60" s="42"/>
      <c r="U60" s="42"/>
      <c r="V60" s="42"/>
      <c r="W60" s="42"/>
      <c r="X60" s="42"/>
      <c r="Y60" s="43"/>
      <c r="Z60" s="26" t="str">
        <f t="shared" si="2"/>
        <v/>
      </c>
      <c r="AA60" t="str">
        <f t="shared" si="3"/>
        <v/>
      </c>
      <c r="AB60">
        <f t="shared" si="4"/>
        <v>39</v>
      </c>
      <c r="AC60">
        <f t="shared" si="5"/>
        <v>39</v>
      </c>
    </row>
    <row r="61" spans="7:29">
      <c r="P61" s="44"/>
      <c r="Q61" s="45"/>
      <c r="R61" s="45"/>
      <c r="S61" s="46"/>
      <c r="T61" s="45"/>
      <c r="U61" s="45"/>
      <c r="V61" s="45"/>
      <c r="W61" s="45"/>
      <c r="X61" s="45"/>
      <c r="Y61" s="46"/>
      <c r="Z61" s="26" t="str">
        <f t="shared" si="2"/>
        <v/>
      </c>
      <c r="AA61" t="str">
        <f t="shared" si="3"/>
        <v/>
      </c>
      <c r="AB61">
        <f t="shared" si="4"/>
        <v>39</v>
      </c>
      <c r="AC61">
        <f t="shared" si="5"/>
        <v>39</v>
      </c>
    </row>
    <row r="62" spans="7:29">
      <c r="P62" s="41"/>
      <c r="Q62" s="42"/>
      <c r="R62" s="42"/>
      <c r="S62" s="43"/>
      <c r="T62" s="42"/>
      <c r="U62" s="42"/>
      <c r="V62" s="42"/>
      <c r="W62" s="42"/>
      <c r="X62" s="42"/>
      <c r="Y62" s="43"/>
      <c r="Z62" s="26" t="str">
        <f t="shared" si="2"/>
        <v/>
      </c>
      <c r="AA62" t="str">
        <f t="shared" si="3"/>
        <v/>
      </c>
      <c r="AB62">
        <f t="shared" si="4"/>
        <v>39</v>
      </c>
      <c r="AC62">
        <f t="shared" si="5"/>
        <v>39</v>
      </c>
    </row>
    <row r="63" spans="7:29">
      <c r="P63" s="44"/>
      <c r="Q63" s="45"/>
      <c r="R63" s="45"/>
      <c r="S63" s="46"/>
      <c r="T63" s="45"/>
      <c r="U63" s="45"/>
      <c r="V63" s="45"/>
      <c r="W63" s="45"/>
      <c r="X63" s="45"/>
      <c r="Y63" s="46"/>
      <c r="Z63" s="26" t="str">
        <f t="shared" si="2"/>
        <v/>
      </c>
      <c r="AA63" t="str">
        <f t="shared" si="3"/>
        <v/>
      </c>
      <c r="AB63">
        <f t="shared" si="4"/>
        <v>39</v>
      </c>
      <c r="AC63">
        <f t="shared" si="5"/>
        <v>39</v>
      </c>
    </row>
    <row r="64" spans="7:29">
      <c r="P64" s="41"/>
      <c r="Q64" s="42"/>
      <c r="R64" s="42"/>
      <c r="S64" s="43"/>
      <c r="T64" s="42"/>
      <c r="U64" s="42"/>
      <c r="V64" s="42"/>
      <c r="W64" s="42"/>
      <c r="X64" s="42"/>
      <c r="Y64" s="43"/>
      <c r="Z64" s="26" t="str">
        <f t="shared" si="2"/>
        <v/>
      </c>
      <c r="AA64" t="str">
        <f t="shared" si="3"/>
        <v/>
      </c>
      <c r="AB64">
        <f t="shared" si="4"/>
        <v>39</v>
      </c>
      <c r="AC64">
        <f t="shared" si="5"/>
        <v>39</v>
      </c>
    </row>
    <row r="65" spans="16:29">
      <c r="P65" s="44"/>
      <c r="Q65" s="45"/>
      <c r="R65" s="45"/>
      <c r="S65" s="46"/>
      <c r="T65" s="45"/>
      <c r="U65" s="45"/>
      <c r="V65" s="45"/>
      <c r="W65" s="45"/>
      <c r="X65" s="45"/>
      <c r="Y65" s="46"/>
      <c r="Z65" s="26" t="str">
        <f t="shared" si="2"/>
        <v/>
      </c>
      <c r="AA65" t="str">
        <f t="shared" si="3"/>
        <v/>
      </c>
      <c r="AB65">
        <f t="shared" si="4"/>
        <v>39</v>
      </c>
      <c r="AC65">
        <f t="shared" si="5"/>
        <v>39</v>
      </c>
    </row>
    <row r="66" spans="16:29">
      <c r="P66" s="41"/>
      <c r="Q66" s="42"/>
      <c r="R66" s="42"/>
      <c r="S66" s="43"/>
      <c r="T66" s="42"/>
      <c r="U66" s="42"/>
      <c r="V66" s="42"/>
      <c r="W66" s="42"/>
      <c r="X66" s="42"/>
      <c r="Y66" s="43"/>
      <c r="Z66" s="26" t="str">
        <f t="shared" si="2"/>
        <v/>
      </c>
      <c r="AA66" t="str">
        <f>CONCATENATE(P66,R66,S66)</f>
        <v/>
      </c>
      <c r="AB66">
        <f t="shared" si="4"/>
        <v>39</v>
      </c>
      <c r="AC66">
        <f t="shared" si="5"/>
        <v>39</v>
      </c>
    </row>
    <row r="67" spans="16:29">
      <c r="P67" s="44"/>
      <c r="Q67" s="45"/>
      <c r="R67" s="45"/>
      <c r="S67" s="46"/>
      <c r="T67" s="45"/>
      <c r="U67" s="45"/>
      <c r="V67" s="45"/>
      <c r="W67" s="45"/>
      <c r="X67" s="45"/>
      <c r="Y67" s="46"/>
      <c r="Z67" s="26" t="str">
        <f t="shared" si="2"/>
        <v/>
      </c>
      <c r="AA67" t="str">
        <f t="shared" si="3"/>
        <v/>
      </c>
      <c r="AB67">
        <f t="shared" si="4"/>
        <v>39</v>
      </c>
      <c r="AC67">
        <f t="shared" si="5"/>
        <v>39</v>
      </c>
    </row>
    <row r="68" spans="16:29">
      <c r="P68" s="41"/>
      <c r="Q68" s="42"/>
      <c r="R68" s="42"/>
      <c r="S68" s="43"/>
      <c r="T68" s="42"/>
      <c r="U68" s="42"/>
      <c r="V68" s="42"/>
      <c r="W68" s="42"/>
      <c r="X68" s="42"/>
      <c r="Y68" s="43"/>
      <c r="Z68" s="26" t="str">
        <f t="shared" si="2"/>
        <v/>
      </c>
      <c r="AA68" t="str">
        <f t="shared" si="3"/>
        <v/>
      </c>
      <c r="AB68">
        <f t="shared" si="4"/>
        <v>39</v>
      </c>
      <c r="AC68">
        <f t="shared" si="5"/>
        <v>39</v>
      </c>
    </row>
    <row r="69" spans="16:29">
      <c r="P69" s="44"/>
      <c r="Q69" s="45"/>
      <c r="R69" s="45"/>
      <c r="S69" s="46"/>
      <c r="T69" s="45"/>
      <c r="U69" s="45"/>
      <c r="V69" s="45"/>
      <c r="W69" s="45"/>
      <c r="X69" s="45"/>
      <c r="Y69" s="46"/>
      <c r="Z69" s="26" t="str">
        <f t="shared" si="2"/>
        <v/>
      </c>
      <c r="AA69" t="str">
        <f t="shared" si="3"/>
        <v/>
      </c>
      <c r="AB69">
        <f t="shared" si="4"/>
        <v>39</v>
      </c>
      <c r="AC69">
        <f t="shared" si="5"/>
        <v>39</v>
      </c>
    </row>
    <row r="70" spans="16:29">
      <c r="P70" s="41"/>
      <c r="Q70" s="42"/>
      <c r="R70" s="42"/>
      <c r="S70" s="43"/>
      <c r="T70" s="42"/>
      <c r="U70" s="42"/>
      <c r="V70" s="42"/>
      <c r="W70" s="42"/>
      <c r="X70" s="42"/>
      <c r="Y70" s="43"/>
      <c r="AB70">
        <f t="shared" si="4"/>
        <v>39</v>
      </c>
      <c r="AC70">
        <f t="shared" si="5"/>
        <v>39</v>
      </c>
    </row>
    <row r="71" spans="16:29">
      <c r="P71" s="44"/>
      <c r="Q71" s="45"/>
      <c r="R71" s="45"/>
      <c r="S71" s="46"/>
      <c r="T71" s="45"/>
      <c r="U71" s="45"/>
      <c r="V71" s="45"/>
      <c r="W71" s="45"/>
      <c r="X71" s="45"/>
      <c r="Y71" s="46"/>
    </row>
    <row r="72" spans="16:29">
      <c r="P72" s="41"/>
      <c r="Q72" s="42"/>
      <c r="R72" s="42"/>
      <c r="S72" s="43"/>
      <c r="T72" s="42"/>
      <c r="U72" s="42"/>
      <c r="V72" s="42"/>
      <c r="W72" s="42"/>
      <c r="X72" s="42"/>
      <c r="Y72" s="43"/>
    </row>
    <row r="73" spans="16:29">
      <c r="P73" s="44"/>
      <c r="Q73" s="45"/>
      <c r="R73" s="45"/>
      <c r="S73" s="46"/>
      <c r="T73" s="45"/>
      <c r="U73" s="45"/>
      <c r="V73" s="45"/>
      <c r="W73" s="45"/>
      <c r="X73" s="45"/>
      <c r="Y73" s="46"/>
    </row>
    <row r="74" spans="16:29">
      <c r="P74" s="41"/>
      <c r="Q74" s="42"/>
      <c r="R74" s="42"/>
      <c r="S74" s="43"/>
      <c r="T74" s="42"/>
      <c r="U74" s="42"/>
      <c r="V74" s="42"/>
      <c r="W74" s="42"/>
      <c r="X74" s="42"/>
      <c r="Y74" s="43"/>
    </row>
    <row r="75" spans="16:29">
      <c r="P75" s="44"/>
      <c r="Q75" s="45"/>
      <c r="R75" s="45"/>
      <c r="S75" s="46"/>
      <c r="T75" s="45"/>
      <c r="U75" s="45"/>
      <c r="V75" s="45"/>
      <c r="W75" s="45"/>
      <c r="X75" s="45"/>
      <c r="Y75" s="46"/>
    </row>
    <row r="76" spans="16:29">
      <c r="P76" s="41"/>
      <c r="Q76" s="42"/>
      <c r="R76" s="42"/>
      <c r="S76" s="43"/>
      <c r="T76" s="42"/>
      <c r="U76" s="42"/>
      <c r="V76" s="42"/>
      <c r="W76" s="42"/>
      <c r="X76" s="42"/>
      <c r="Y76" s="43"/>
    </row>
    <row r="77" spans="16:29">
      <c r="P77" s="44"/>
      <c r="Q77" s="45"/>
      <c r="R77" s="45"/>
      <c r="S77" s="46"/>
      <c r="T77" s="45"/>
      <c r="U77" s="45"/>
      <c r="V77" s="45"/>
      <c r="W77" s="45"/>
      <c r="X77" s="45"/>
      <c r="Y77" s="46"/>
    </row>
    <row r="78" spans="16:29">
      <c r="P78" s="41"/>
      <c r="Q78" s="42"/>
      <c r="R78" s="42"/>
      <c r="S78" s="43"/>
      <c r="T78" s="42"/>
      <c r="U78" s="42"/>
      <c r="V78" s="42"/>
      <c r="W78" s="42"/>
      <c r="X78" s="42"/>
      <c r="Y78" s="43"/>
    </row>
    <row r="79" spans="16:29">
      <c r="P79" s="44"/>
      <c r="Q79" s="45"/>
      <c r="R79" s="45"/>
      <c r="S79" s="46"/>
      <c r="T79" s="45"/>
      <c r="U79" s="45"/>
      <c r="V79" s="45"/>
      <c r="W79" s="45"/>
      <c r="X79" s="45"/>
      <c r="Y79" s="46"/>
    </row>
    <row r="80" spans="16:29">
      <c r="P80" s="41"/>
      <c r="Q80" s="42"/>
      <c r="R80" s="42"/>
      <c r="S80" s="43"/>
      <c r="T80" s="42"/>
      <c r="U80" s="42"/>
      <c r="V80" s="42"/>
      <c r="W80" s="42"/>
      <c r="X80" s="42"/>
      <c r="Y80" s="43"/>
    </row>
    <row r="81" spans="16:25">
      <c r="P81" s="44"/>
      <c r="Q81" s="45"/>
      <c r="R81" s="45"/>
      <c r="S81" s="46"/>
      <c r="T81" s="45"/>
      <c r="U81" s="45"/>
      <c r="V81" s="45"/>
      <c r="W81" s="45"/>
      <c r="X81" s="45"/>
      <c r="Y81" s="46"/>
    </row>
    <row r="82" spans="16:25">
      <c r="P82" s="41"/>
      <c r="Q82" s="42"/>
      <c r="R82" s="42"/>
      <c r="S82" s="43"/>
      <c r="T82" s="42"/>
      <c r="U82" s="42"/>
      <c r="V82" s="42"/>
      <c r="W82" s="42"/>
      <c r="X82" s="42"/>
      <c r="Y82" s="43"/>
    </row>
    <row r="83" spans="16:25">
      <c r="P83" s="44"/>
      <c r="Q83" s="45"/>
      <c r="R83" s="45"/>
      <c r="S83" s="46"/>
      <c r="T83" s="45"/>
      <c r="U83" s="45"/>
      <c r="V83" s="45"/>
      <c r="W83" s="45"/>
      <c r="X83" s="45"/>
      <c r="Y83" s="46"/>
    </row>
    <row r="84" spans="16:25">
      <c r="P84" s="41"/>
      <c r="Q84" s="42"/>
      <c r="R84" s="42"/>
      <c r="S84" s="43"/>
      <c r="T84" s="42"/>
      <c r="U84" s="42"/>
      <c r="V84" s="42"/>
      <c r="W84" s="42"/>
      <c r="X84" s="42"/>
      <c r="Y84" s="43"/>
    </row>
    <row r="85" spans="16:25">
      <c r="P85" s="44"/>
      <c r="Q85" s="45"/>
      <c r="R85" s="45"/>
      <c r="S85" s="46"/>
      <c r="T85" s="45"/>
      <c r="U85" s="45"/>
      <c r="V85" s="45"/>
      <c r="W85" s="45"/>
      <c r="X85" s="45"/>
      <c r="Y85" s="46"/>
    </row>
    <row r="86" spans="16:25">
      <c r="P86" s="41"/>
      <c r="Q86" s="42"/>
      <c r="R86" s="42"/>
      <c r="S86" s="43"/>
      <c r="T86" s="42"/>
      <c r="U86" s="42"/>
      <c r="V86" s="42"/>
      <c r="W86" s="42"/>
      <c r="X86" s="42"/>
      <c r="Y86" s="43"/>
    </row>
    <row r="87" spans="16:25">
      <c r="P87" s="44"/>
      <c r="Q87" s="45"/>
      <c r="R87" s="45"/>
      <c r="S87" s="46"/>
      <c r="T87" s="45"/>
      <c r="U87" s="45"/>
      <c r="V87" s="45"/>
      <c r="W87" s="45"/>
      <c r="X87" s="45"/>
      <c r="Y87" s="46"/>
    </row>
    <row r="88" spans="16:25">
      <c r="P88" s="41"/>
      <c r="Q88" s="42"/>
      <c r="R88" s="42"/>
      <c r="S88" s="43"/>
      <c r="T88" s="42"/>
      <c r="U88" s="42"/>
      <c r="V88" s="42"/>
      <c r="W88" s="42"/>
      <c r="X88" s="42"/>
      <c r="Y88" s="43"/>
    </row>
    <row r="89" spans="16:25" ht="16" thickBot="1">
      <c r="P89" s="50"/>
      <c r="Q89" s="51"/>
      <c r="R89" s="51"/>
      <c r="S89" s="52"/>
      <c r="T89" s="51"/>
      <c r="U89" s="51"/>
      <c r="V89" s="51"/>
      <c r="W89" s="51"/>
      <c r="X89" s="51"/>
      <c r="Y89" s="52"/>
    </row>
    <row r="90" spans="16:25">
      <c r="P90" s="53"/>
      <c r="Q90" s="53"/>
      <c r="R90" s="53"/>
      <c r="S90" s="53"/>
    </row>
    <row r="91" spans="16:25">
      <c r="P91" s="53"/>
      <c r="Q91" s="53"/>
      <c r="R91" s="53"/>
      <c r="S91" s="53"/>
    </row>
    <row r="92" spans="16:25">
      <c r="P92" s="53"/>
      <c r="Q92" s="53"/>
      <c r="R92" s="53"/>
      <c r="S92" s="53"/>
    </row>
    <row r="93" spans="16:25">
      <c r="P93" s="53"/>
      <c r="Q93" s="53"/>
      <c r="R93" s="53"/>
      <c r="S93" s="53"/>
    </row>
    <row r="94" spans="16:25">
      <c r="P94" s="53"/>
      <c r="Q94" s="53"/>
      <c r="R94" s="53"/>
      <c r="S94" s="53"/>
    </row>
    <row r="95" spans="16:25">
      <c r="P95" s="53"/>
      <c r="Q95" s="53"/>
      <c r="R95" s="53"/>
      <c r="S95" s="53"/>
    </row>
    <row r="96" spans="16:25">
      <c r="P96" s="53"/>
      <c r="Q96" s="53"/>
      <c r="R96" s="53"/>
      <c r="S96" s="53"/>
    </row>
    <row r="97" spans="16:19">
      <c r="P97" s="53"/>
      <c r="Q97" s="53"/>
      <c r="R97" s="53"/>
      <c r="S97" s="53"/>
    </row>
    <row r="98" spans="16:19">
      <c r="P98" s="53"/>
      <c r="Q98" s="53"/>
      <c r="R98" s="53"/>
      <c r="S98" s="53"/>
    </row>
    <row r="99" spans="16:19">
      <c r="P99" s="53"/>
      <c r="Q99" s="53"/>
      <c r="R99" s="53"/>
      <c r="S99" s="53"/>
    </row>
    <row r="100" spans="16:19">
      <c r="P100" s="53"/>
      <c r="Q100" s="53"/>
      <c r="R100" s="53"/>
      <c r="S100" s="53"/>
    </row>
    <row r="101" spans="16:19">
      <c r="P101" s="53"/>
      <c r="Q101" s="53"/>
      <c r="R101" s="53"/>
      <c r="S101" s="53"/>
    </row>
    <row r="102" spans="16:19">
      <c r="P102" s="53"/>
      <c r="Q102" s="53"/>
      <c r="R102" s="53"/>
      <c r="S102" s="53"/>
    </row>
    <row r="103" spans="16:19">
      <c r="P103" s="53"/>
      <c r="Q103" s="53"/>
      <c r="R103" s="53"/>
      <c r="S103" s="53"/>
    </row>
    <row r="104" spans="16:19">
      <c r="P104" s="53"/>
      <c r="Q104" s="53"/>
      <c r="R104" s="53"/>
      <c r="S104" s="53"/>
    </row>
    <row r="105" spans="16:19">
      <c r="P105" s="53"/>
      <c r="Q105" s="53"/>
      <c r="R105" s="53"/>
      <c r="S105" s="53"/>
    </row>
    <row r="106" spans="16:19">
      <c r="P106" s="53"/>
      <c r="Q106" s="53"/>
      <c r="R106" s="53"/>
      <c r="S106" s="53"/>
    </row>
    <row r="107" spans="16:19">
      <c r="P107" s="53"/>
      <c r="Q107" s="53"/>
      <c r="R107" s="53"/>
      <c r="S107" s="53"/>
    </row>
    <row r="108" spans="16:19">
      <c r="P108" s="53"/>
      <c r="Q108" s="53"/>
      <c r="R108" s="53"/>
      <c r="S108" s="53"/>
    </row>
    <row r="109" spans="16:19">
      <c r="P109" s="53"/>
      <c r="Q109" s="53"/>
      <c r="R109" s="53"/>
      <c r="S109" s="53"/>
    </row>
    <row r="110" spans="16:19">
      <c r="P110" s="53"/>
      <c r="Q110" s="53"/>
      <c r="R110" s="53"/>
      <c r="S110" s="53"/>
    </row>
    <row r="111" spans="16:19">
      <c r="P111" s="53"/>
      <c r="Q111" s="53"/>
      <c r="R111" s="53"/>
      <c r="S111" s="53"/>
    </row>
    <row r="112" spans="16:19">
      <c r="P112" s="53"/>
      <c r="Q112" s="53"/>
      <c r="R112" s="53"/>
      <c r="S112" s="53"/>
    </row>
    <row r="113" spans="16:19">
      <c r="P113" s="53"/>
      <c r="Q113" s="53"/>
      <c r="R113" s="53"/>
      <c r="S113" s="53"/>
    </row>
    <row r="114" spans="16:19">
      <c r="P114" s="53"/>
      <c r="Q114" s="53"/>
      <c r="R114" s="53"/>
      <c r="S114" s="53"/>
    </row>
    <row r="115" spans="16:19">
      <c r="P115" s="53"/>
      <c r="Q115" s="53"/>
      <c r="R115" s="53"/>
      <c r="S115" s="53"/>
    </row>
    <row r="116" spans="16:19">
      <c r="P116" s="53"/>
      <c r="Q116" s="53"/>
      <c r="R116" s="53"/>
      <c r="S116" s="53"/>
    </row>
    <row r="117" spans="16:19">
      <c r="P117" s="53"/>
      <c r="Q117" s="53"/>
      <c r="R117" s="53"/>
      <c r="S117" s="53"/>
    </row>
    <row r="118" spans="16:19">
      <c r="P118" s="53"/>
      <c r="Q118" s="53"/>
      <c r="R118" s="53"/>
      <c r="S118" s="53"/>
    </row>
    <row r="119" spans="16:19">
      <c r="P119" s="53"/>
      <c r="Q119" s="53"/>
      <c r="R119" s="53"/>
      <c r="S119" s="53"/>
    </row>
    <row r="120" spans="16:19">
      <c r="P120" s="53"/>
      <c r="Q120" s="53"/>
      <c r="R120" s="53"/>
      <c r="S120" s="53"/>
    </row>
    <row r="121" spans="16:19">
      <c r="P121" s="53"/>
      <c r="Q121" s="53"/>
      <c r="R121" s="53"/>
      <c r="S121" s="53"/>
    </row>
    <row r="122" spans="16:19">
      <c r="P122" s="53"/>
      <c r="Q122" s="53"/>
      <c r="R122" s="53"/>
      <c r="S122" s="53"/>
    </row>
    <row r="123" spans="16:19">
      <c r="P123" s="53"/>
      <c r="Q123" s="53"/>
      <c r="R123" s="53"/>
      <c r="S123" s="53"/>
    </row>
    <row r="124" spans="16:19">
      <c r="P124" s="53"/>
      <c r="Q124" s="53"/>
      <c r="R124" s="53"/>
      <c r="S124" s="53"/>
    </row>
    <row r="125" spans="16:19">
      <c r="P125" s="53"/>
      <c r="Q125" s="53"/>
      <c r="R125" s="53"/>
      <c r="S125" s="53"/>
    </row>
    <row r="126" spans="16:19">
      <c r="P126" s="53"/>
      <c r="Q126" s="53"/>
      <c r="R126" s="53"/>
      <c r="S126" s="53"/>
    </row>
    <row r="127" spans="16:19">
      <c r="P127" s="53"/>
      <c r="Q127" s="53"/>
      <c r="R127" s="53"/>
      <c r="S127" s="53"/>
    </row>
    <row r="128" spans="16:19">
      <c r="P128" s="53"/>
      <c r="Q128" s="53"/>
      <c r="R128" s="53"/>
      <c r="S128" s="53"/>
    </row>
    <row r="129" spans="16:19">
      <c r="P129" s="53"/>
      <c r="Q129" s="53"/>
      <c r="R129" s="53"/>
      <c r="S129" s="53"/>
    </row>
    <row r="130" spans="16:19">
      <c r="P130" s="53"/>
      <c r="Q130" s="53"/>
      <c r="R130" s="53"/>
      <c r="S130" s="53"/>
    </row>
    <row r="131" spans="16:19">
      <c r="P131" s="53"/>
      <c r="Q131" s="53"/>
      <c r="R131" s="53"/>
      <c r="S131" s="53"/>
    </row>
    <row r="132" spans="16:19">
      <c r="P132" s="53"/>
      <c r="Q132" s="53"/>
      <c r="R132" s="53"/>
      <c r="S132" s="53"/>
    </row>
    <row r="133" spans="16:19">
      <c r="P133" s="53"/>
      <c r="Q133" s="53"/>
      <c r="R133" s="53"/>
      <c r="S133" s="53"/>
    </row>
    <row r="134" spans="16:19">
      <c r="P134" s="53"/>
      <c r="Q134" s="53"/>
      <c r="R134" s="53"/>
      <c r="S134" s="53"/>
    </row>
    <row r="135" spans="16:19">
      <c r="P135" s="53"/>
      <c r="Q135" s="53"/>
      <c r="R135" s="53"/>
      <c r="S135" s="53"/>
    </row>
    <row r="136" spans="16:19">
      <c r="P136" s="53"/>
      <c r="Q136" s="53"/>
      <c r="R136" s="53"/>
      <c r="S136" s="53"/>
    </row>
    <row r="137" spans="16:19">
      <c r="P137" s="53"/>
      <c r="Q137" s="53"/>
      <c r="R137" s="53"/>
      <c r="S137" s="53"/>
    </row>
    <row r="138" spans="16:19">
      <c r="P138" s="53"/>
      <c r="Q138" s="53"/>
      <c r="R138" s="53"/>
      <c r="S138" s="53"/>
    </row>
    <row r="139" spans="16:19">
      <c r="P139" s="53"/>
      <c r="Q139" s="53"/>
      <c r="R139" s="53"/>
      <c r="S139" s="53"/>
    </row>
    <row r="140" spans="16:19">
      <c r="P140" s="53"/>
      <c r="Q140" s="53"/>
      <c r="R140" s="53"/>
      <c r="S140" s="53"/>
    </row>
    <row r="141" spans="16:19">
      <c r="P141" s="53"/>
      <c r="Q141" s="53"/>
      <c r="R141" s="53"/>
      <c r="S141" s="53"/>
    </row>
    <row r="142" spans="16:19">
      <c r="P142" s="53"/>
      <c r="Q142" s="53"/>
      <c r="R142" s="53"/>
      <c r="S142" s="53"/>
    </row>
    <row r="143" spans="16:19">
      <c r="P143" s="53"/>
      <c r="Q143" s="53"/>
      <c r="R143" s="53"/>
      <c r="S143" s="53"/>
    </row>
    <row r="144" spans="16:19">
      <c r="P144" s="53"/>
      <c r="Q144" s="53"/>
      <c r="R144" s="53"/>
      <c r="S144" s="53"/>
    </row>
    <row r="145" spans="16:19">
      <c r="P145" s="53"/>
      <c r="Q145" s="53"/>
      <c r="R145" s="53"/>
      <c r="S145" s="53"/>
    </row>
    <row r="146" spans="16:19">
      <c r="P146" s="53"/>
      <c r="Q146" s="53"/>
      <c r="R146" s="53"/>
      <c r="S146" s="53"/>
    </row>
    <row r="147" spans="16:19">
      <c r="P147" s="53"/>
      <c r="Q147" s="53"/>
      <c r="R147" s="53"/>
      <c r="S147" s="53"/>
    </row>
    <row r="148" spans="16:19">
      <c r="P148" s="53"/>
      <c r="Q148" s="53"/>
      <c r="R148" s="53"/>
      <c r="S148" s="53"/>
    </row>
    <row r="149" spans="16:19">
      <c r="P149" s="53"/>
      <c r="Q149" s="53"/>
      <c r="R149" s="53"/>
      <c r="S149" s="53"/>
    </row>
    <row r="150" spans="16:19">
      <c r="P150" s="53"/>
      <c r="Q150" s="53"/>
      <c r="R150" s="53"/>
      <c r="S150" s="53"/>
    </row>
    <row r="151" spans="16:19">
      <c r="P151" s="53"/>
      <c r="Q151" s="53"/>
      <c r="R151" s="53"/>
      <c r="S151" s="53"/>
    </row>
    <row r="152" spans="16:19">
      <c r="P152" s="53"/>
      <c r="Q152" s="53"/>
      <c r="R152" s="53"/>
      <c r="S152" s="53"/>
    </row>
    <row r="153" spans="16:19">
      <c r="P153" s="53"/>
      <c r="Q153" s="53"/>
      <c r="R153" s="53"/>
      <c r="S153" s="53"/>
    </row>
    <row r="154" spans="16:19">
      <c r="P154" s="53"/>
      <c r="Q154" s="53"/>
      <c r="R154" s="53"/>
      <c r="S154" s="53"/>
    </row>
    <row r="155" spans="16:19">
      <c r="P155" s="53"/>
      <c r="Q155" s="53"/>
      <c r="R155" s="53"/>
      <c r="S155" s="53"/>
    </row>
    <row r="156" spans="16:19">
      <c r="P156" s="53"/>
      <c r="Q156" s="53"/>
      <c r="R156" s="53"/>
      <c r="S156" s="53"/>
    </row>
    <row r="157" spans="16:19">
      <c r="P157" s="53"/>
      <c r="Q157" s="53"/>
      <c r="R157" s="53"/>
      <c r="S157" s="53"/>
    </row>
    <row r="158" spans="16:19">
      <c r="P158" s="53"/>
      <c r="Q158" s="53"/>
      <c r="R158" s="53"/>
      <c r="S158" s="53"/>
    </row>
    <row r="159" spans="16:19">
      <c r="P159" s="53"/>
      <c r="Q159" s="53"/>
      <c r="R159" s="53"/>
      <c r="S159" s="53"/>
    </row>
    <row r="160" spans="16:19">
      <c r="P160" s="53"/>
      <c r="Q160" s="53"/>
      <c r="R160" s="53"/>
      <c r="S160" s="53"/>
    </row>
    <row r="161" spans="16:19">
      <c r="P161" s="53"/>
      <c r="Q161" s="53"/>
      <c r="R161" s="53"/>
      <c r="S161" s="53"/>
    </row>
    <row r="162" spans="16:19">
      <c r="P162" s="53"/>
      <c r="Q162" s="53"/>
      <c r="R162" s="53"/>
      <c r="S162" s="53"/>
    </row>
    <row r="163" spans="16:19">
      <c r="P163" s="53"/>
      <c r="Q163" s="53"/>
      <c r="R163" s="53"/>
      <c r="S163" s="53"/>
    </row>
    <row r="164" spans="16:19">
      <c r="P164" s="53"/>
      <c r="Q164" s="53"/>
      <c r="R164" s="53"/>
      <c r="S164" s="53"/>
    </row>
    <row r="165" spans="16:19">
      <c r="P165" s="53"/>
      <c r="Q165" s="53"/>
      <c r="R165" s="53"/>
      <c r="S165" s="53"/>
    </row>
    <row r="166" spans="16:19">
      <c r="P166" s="53"/>
      <c r="Q166" s="53"/>
      <c r="R166" s="53"/>
      <c r="S166" s="53"/>
    </row>
    <row r="167" spans="16:19">
      <c r="P167" s="53"/>
      <c r="Q167" s="53"/>
      <c r="R167" s="53"/>
      <c r="S167" s="53"/>
    </row>
    <row r="168" spans="16:19">
      <c r="P168" s="53"/>
      <c r="Q168" s="53"/>
      <c r="R168" s="53"/>
      <c r="S168" s="53"/>
    </row>
    <row r="169" spans="16:19">
      <c r="P169" s="53"/>
      <c r="Q169" s="53"/>
      <c r="R169" s="53"/>
      <c r="S169" s="53"/>
    </row>
    <row r="170" spans="16:19">
      <c r="P170" s="53"/>
      <c r="Q170" s="53"/>
      <c r="R170" s="53"/>
      <c r="S170" s="53"/>
    </row>
    <row r="171" spans="16:19">
      <c r="P171" s="53"/>
      <c r="Q171" s="53"/>
      <c r="R171" s="53"/>
      <c r="S171" s="53"/>
    </row>
    <row r="172" spans="16:19">
      <c r="P172" s="53"/>
      <c r="Q172" s="53"/>
      <c r="R172" s="53"/>
      <c r="S172" s="53"/>
    </row>
    <row r="173" spans="16:19">
      <c r="P173" s="53"/>
      <c r="Q173" s="53"/>
      <c r="R173" s="53"/>
      <c r="S173" s="53"/>
    </row>
    <row r="174" spans="16:19">
      <c r="P174" s="53"/>
      <c r="Q174" s="53"/>
      <c r="R174" s="53"/>
      <c r="S174" s="53"/>
    </row>
    <row r="175" spans="16:19">
      <c r="P175" s="53"/>
      <c r="Q175" s="53"/>
      <c r="R175" s="53"/>
      <c r="S175" s="53"/>
    </row>
    <row r="176" spans="16:19">
      <c r="P176" s="53"/>
      <c r="Q176" s="53"/>
      <c r="R176" s="53"/>
      <c r="S176" s="53"/>
    </row>
    <row r="177" spans="16:19">
      <c r="P177" s="53"/>
      <c r="Q177" s="53"/>
      <c r="R177" s="53"/>
      <c r="S177" s="53"/>
    </row>
    <row r="178" spans="16:19">
      <c r="P178" s="53"/>
      <c r="Q178" s="53"/>
      <c r="R178" s="53"/>
      <c r="S178" s="53"/>
    </row>
    <row r="179" spans="16:19">
      <c r="P179" s="53"/>
      <c r="Q179" s="53"/>
      <c r="R179" s="53"/>
      <c r="S179" s="53"/>
    </row>
    <row r="180" spans="16:19">
      <c r="P180" s="53"/>
      <c r="Q180" s="53"/>
      <c r="R180" s="53"/>
      <c r="S180" s="53"/>
    </row>
    <row r="181" spans="16:19">
      <c r="P181" s="53"/>
      <c r="Q181" s="53"/>
      <c r="R181" s="53"/>
      <c r="S181" s="53"/>
    </row>
    <row r="182" spans="16:19">
      <c r="P182" s="53"/>
      <c r="Q182" s="53"/>
      <c r="R182" s="53"/>
      <c r="S182" s="53"/>
    </row>
    <row r="183" spans="16:19">
      <c r="P183" s="53"/>
      <c r="Q183" s="53"/>
      <c r="R183" s="53"/>
      <c r="S183" s="53"/>
    </row>
    <row r="184" spans="16:19">
      <c r="P184" s="53"/>
      <c r="Q184" s="53"/>
      <c r="R184" s="53"/>
      <c r="S184" s="53"/>
    </row>
    <row r="185" spans="16:19">
      <c r="P185" s="53"/>
      <c r="Q185" s="53"/>
      <c r="R185" s="53"/>
      <c r="S185" s="53"/>
    </row>
    <row r="186" spans="16:19">
      <c r="P186" s="53"/>
      <c r="Q186" s="53"/>
      <c r="R186" s="53"/>
      <c r="S186" s="53"/>
    </row>
    <row r="187" spans="16:19">
      <c r="P187" s="53"/>
      <c r="Q187" s="53"/>
      <c r="R187" s="53"/>
      <c r="S187" s="53"/>
    </row>
    <row r="188" spans="16:19">
      <c r="P188" s="53"/>
      <c r="Q188" s="53"/>
      <c r="R188" s="53"/>
      <c r="S188" s="53"/>
    </row>
    <row r="189" spans="16:19">
      <c r="P189" s="53"/>
      <c r="Q189" s="53"/>
      <c r="R189" s="53"/>
      <c r="S189" s="53"/>
    </row>
    <row r="190" spans="16:19">
      <c r="P190" s="53"/>
      <c r="Q190" s="53"/>
      <c r="R190" s="53"/>
      <c r="S190" s="53"/>
    </row>
    <row r="191" spans="16:19">
      <c r="P191" s="53"/>
      <c r="Q191" s="53"/>
      <c r="R191" s="53"/>
      <c r="S191" s="53"/>
    </row>
    <row r="192" spans="16:19">
      <c r="P192" s="53"/>
      <c r="Q192" s="53"/>
      <c r="R192" s="53"/>
      <c r="S192" s="53"/>
    </row>
    <row r="193" spans="16:19">
      <c r="P193" s="53"/>
      <c r="Q193" s="53"/>
      <c r="R193" s="53"/>
      <c r="S193" s="53"/>
    </row>
    <row r="194" spans="16:19">
      <c r="P194" s="53"/>
      <c r="Q194" s="53"/>
      <c r="R194" s="53"/>
      <c r="S194" s="53"/>
    </row>
    <row r="195" spans="16:19">
      <c r="P195" s="53"/>
      <c r="Q195" s="53"/>
      <c r="R195" s="53"/>
      <c r="S195" s="53"/>
    </row>
    <row r="196" spans="16:19">
      <c r="P196" s="53"/>
      <c r="Q196" s="53"/>
      <c r="R196" s="53"/>
      <c r="S196" s="53"/>
    </row>
    <row r="197" spans="16:19">
      <c r="P197" s="53"/>
      <c r="Q197" s="53"/>
      <c r="R197" s="53"/>
      <c r="S197" s="53"/>
    </row>
    <row r="198" spans="16:19">
      <c r="P198" s="53"/>
      <c r="Q198" s="53"/>
      <c r="R198" s="53"/>
      <c r="S198" s="53"/>
    </row>
    <row r="199" spans="16:19">
      <c r="P199" s="53"/>
      <c r="Q199" s="53"/>
      <c r="R199" s="53"/>
      <c r="S199" s="53"/>
    </row>
    <row r="200" spans="16:19">
      <c r="P200" s="53"/>
      <c r="Q200" s="53"/>
      <c r="R200" s="53"/>
      <c r="S200" s="53"/>
    </row>
    <row r="201" spans="16:19">
      <c r="P201" s="53"/>
      <c r="Q201" s="53"/>
      <c r="R201" s="53"/>
      <c r="S201" s="53"/>
    </row>
    <row r="202" spans="16:19">
      <c r="P202" s="53"/>
      <c r="Q202" s="53"/>
      <c r="R202" s="53"/>
      <c r="S202" s="53"/>
    </row>
    <row r="203" spans="16:19">
      <c r="P203" s="53"/>
      <c r="Q203" s="53"/>
      <c r="R203" s="53"/>
      <c r="S203" s="53"/>
    </row>
    <row r="204" spans="16:19">
      <c r="P204" s="53"/>
      <c r="Q204" s="53"/>
      <c r="R204" s="53"/>
      <c r="S204" s="53"/>
    </row>
    <row r="205" spans="16:19">
      <c r="P205" s="53"/>
      <c r="Q205" s="53"/>
      <c r="R205" s="53"/>
      <c r="S205" s="53"/>
    </row>
    <row r="206" spans="16:19">
      <c r="P206" s="53"/>
      <c r="Q206" s="53"/>
      <c r="R206" s="53"/>
      <c r="S206" s="53"/>
    </row>
    <row r="207" spans="16:19">
      <c r="P207" s="53"/>
      <c r="Q207" s="53"/>
      <c r="R207" s="53"/>
      <c r="S207" s="53"/>
    </row>
    <row r="208" spans="16:19">
      <c r="P208" s="53"/>
      <c r="Q208" s="53"/>
      <c r="R208" s="53"/>
      <c r="S208" s="53"/>
    </row>
    <row r="209" spans="16:19">
      <c r="P209" s="53"/>
      <c r="Q209" s="53"/>
      <c r="R209" s="53"/>
      <c r="S209" s="53"/>
    </row>
    <row r="210" spans="16:19">
      <c r="P210" s="53"/>
      <c r="Q210" s="53"/>
      <c r="R210" s="53"/>
      <c r="S210" s="53"/>
    </row>
    <row r="211" spans="16:19">
      <c r="P211" s="53"/>
      <c r="Q211" s="53"/>
      <c r="R211" s="53"/>
      <c r="S211" s="53"/>
    </row>
    <row r="212" spans="16:19">
      <c r="P212" s="53"/>
      <c r="Q212" s="53"/>
      <c r="R212" s="53"/>
      <c r="S212" s="53"/>
    </row>
    <row r="213" spans="16:19">
      <c r="P213" s="53"/>
      <c r="Q213" s="53"/>
      <c r="R213" s="53"/>
      <c r="S213" s="53"/>
    </row>
    <row r="214" spans="16:19">
      <c r="P214" s="53"/>
      <c r="Q214" s="53"/>
      <c r="R214" s="53"/>
      <c r="S214" s="53"/>
    </row>
    <row r="215" spans="16:19">
      <c r="P215" s="53"/>
      <c r="Q215" s="53"/>
      <c r="R215" s="53"/>
      <c r="S215" s="53"/>
    </row>
    <row r="216" spans="16:19">
      <c r="P216" s="53"/>
      <c r="Q216" s="53"/>
      <c r="R216" s="53"/>
      <c r="S216" s="53"/>
    </row>
    <row r="217" spans="16:19">
      <c r="P217" s="53"/>
      <c r="Q217" s="53"/>
      <c r="R217" s="53"/>
      <c r="S217" s="53"/>
    </row>
    <row r="218" spans="16:19">
      <c r="P218" s="53"/>
      <c r="Q218" s="53"/>
      <c r="R218" s="53"/>
      <c r="S218" s="53"/>
    </row>
    <row r="219" spans="16:19">
      <c r="P219" s="53"/>
      <c r="Q219" s="53"/>
      <c r="R219" s="53"/>
      <c r="S219" s="53"/>
    </row>
    <row r="220" spans="16:19">
      <c r="P220" s="53"/>
      <c r="Q220" s="53"/>
      <c r="R220" s="53"/>
      <c r="S220" s="53"/>
    </row>
    <row r="221" spans="16:19">
      <c r="P221" s="53"/>
      <c r="Q221" s="53"/>
      <c r="R221" s="53"/>
      <c r="S221" s="53"/>
    </row>
    <row r="222" spans="16:19">
      <c r="P222" s="53"/>
      <c r="Q222" s="53"/>
      <c r="R222" s="53"/>
      <c r="S222" s="53"/>
    </row>
    <row r="223" spans="16:19">
      <c r="P223" s="53"/>
      <c r="Q223" s="53"/>
      <c r="R223" s="53"/>
      <c r="S223" s="53"/>
    </row>
    <row r="224" spans="16:19">
      <c r="P224" s="53"/>
      <c r="Q224" s="53"/>
      <c r="R224" s="53"/>
      <c r="S224" s="53"/>
    </row>
    <row r="225" spans="16:19">
      <c r="P225" s="53"/>
      <c r="Q225" s="53"/>
      <c r="R225" s="53"/>
      <c r="S225" s="53"/>
    </row>
    <row r="226" spans="16:19">
      <c r="P226" s="53"/>
      <c r="Q226" s="53"/>
      <c r="R226" s="53"/>
      <c r="S226" s="53"/>
    </row>
    <row r="227" spans="16:19">
      <c r="P227" s="53"/>
      <c r="Q227" s="53"/>
      <c r="R227" s="53"/>
      <c r="S227" s="53"/>
    </row>
    <row r="228" spans="16:19">
      <c r="P228" s="53"/>
      <c r="Q228" s="53"/>
      <c r="R228" s="53"/>
      <c r="S228" s="53"/>
    </row>
    <row r="229" spans="16:19">
      <c r="P229" s="53"/>
      <c r="Q229" s="53"/>
      <c r="R229" s="53"/>
      <c r="S229" s="53"/>
    </row>
    <row r="230" spans="16:19">
      <c r="P230" s="53"/>
      <c r="Q230" s="53"/>
      <c r="R230" s="53"/>
      <c r="S230" s="53"/>
    </row>
    <row r="231" spans="16:19">
      <c r="P231" s="53"/>
      <c r="Q231" s="53"/>
      <c r="R231" s="53"/>
      <c r="S231" s="53"/>
    </row>
    <row r="232" spans="16:19">
      <c r="P232" s="53"/>
      <c r="Q232" s="53"/>
      <c r="R232" s="53"/>
      <c r="S232" s="53"/>
    </row>
    <row r="233" spans="16:19">
      <c r="P233" s="53"/>
      <c r="Q233" s="53"/>
      <c r="R233" s="53"/>
      <c r="S233" s="53"/>
    </row>
    <row r="234" spans="16:19">
      <c r="P234" s="53"/>
      <c r="Q234" s="53"/>
      <c r="R234" s="53"/>
      <c r="S234" s="53"/>
    </row>
    <row r="235" spans="16:19">
      <c r="P235" s="53"/>
      <c r="Q235" s="53"/>
      <c r="R235" s="53"/>
      <c r="S235" s="53"/>
    </row>
    <row r="236" spans="16:19">
      <c r="P236" s="53"/>
      <c r="Q236" s="53"/>
      <c r="R236" s="53"/>
      <c r="S236" s="53"/>
    </row>
    <row r="237" spans="16:19">
      <c r="P237" s="53"/>
      <c r="Q237" s="53"/>
      <c r="R237" s="53"/>
      <c r="S237" s="53"/>
    </row>
    <row r="238" spans="16:19">
      <c r="P238" s="53"/>
      <c r="Q238" s="53"/>
      <c r="R238" s="53"/>
      <c r="S238" s="53"/>
    </row>
    <row r="239" spans="16:19">
      <c r="P239" s="53"/>
      <c r="Q239" s="53"/>
      <c r="R239" s="53"/>
      <c r="S239" s="53"/>
    </row>
    <row r="240" spans="16:19">
      <c r="P240" s="53"/>
      <c r="Q240" s="53"/>
      <c r="R240" s="53"/>
      <c r="S240" s="53"/>
    </row>
    <row r="241" spans="16:19">
      <c r="P241" s="53"/>
      <c r="Q241" s="53"/>
      <c r="R241" s="53"/>
      <c r="S241" s="53"/>
    </row>
    <row r="242" spans="16:19">
      <c r="P242" s="53"/>
      <c r="Q242" s="53"/>
      <c r="R242" s="53"/>
      <c r="S242" s="53"/>
    </row>
    <row r="243" spans="16:19">
      <c r="P243" s="53"/>
      <c r="Q243" s="53"/>
      <c r="R243" s="53"/>
      <c r="S243" s="53"/>
    </row>
    <row r="244" spans="16:19">
      <c r="P244" s="53"/>
      <c r="Q244" s="53"/>
      <c r="R244" s="53"/>
      <c r="S244" s="53"/>
    </row>
    <row r="245" spans="16:19">
      <c r="P245" s="53"/>
      <c r="Q245" s="53"/>
      <c r="R245" s="53"/>
      <c r="S245" s="53"/>
    </row>
    <row r="246" spans="16:19">
      <c r="P246" s="53"/>
      <c r="Q246" s="53"/>
      <c r="R246" s="53"/>
      <c r="S246" s="53"/>
    </row>
    <row r="247" spans="16:19">
      <c r="P247" s="53"/>
      <c r="Q247" s="53"/>
      <c r="R247" s="53"/>
      <c r="S247" s="53"/>
    </row>
    <row r="248" spans="16:19">
      <c r="P248" s="53"/>
      <c r="Q248" s="53"/>
      <c r="R248" s="53"/>
      <c r="S248" s="53"/>
    </row>
    <row r="249" spans="16:19">
      <c r="P249" s="53"/>
      <c r="Q249" s="53"/>
      <c r="R249" s="53"/>
      <c r="S249" s="53"/>
    </row>
    <row r="250" spans="16:19">
      <c r="P250" s="53"/>
      <c r="Q250" s="53"/>
      <c r="R250" s="53"/>
      <c r="S250" s="53"/>
    </row>
    <row r="251" spans="16:19">
      <c r="P251" s="53"/>
      <c r="Q251" s="53"/>
      <c r="R251" s="53"/>
      <c r="S251" s="53"/>
    </row>
    <row r="252" spans="16:19">
      <c r="P252" s="53"/>
      <c r="Q252" s="53"/>
      <c r="R252" s="53"/>
      <c r="S252" s="53"/>
    </row>
    <row r="253" spans="16:19">
      <c r="P253" s="53"/>
      <c r="Q253" s="53"/>
      <c r="R253" s="53"/>
      <c r="S253" s="53"/>
    </row>
    <row r="254" spans="16:19">
      <c r="P254" s="53"/>
      <c r="Q254" s="53"/>
      <c r="R254" s="53"/>
      <c r="S254" s="53"/>
    </row>
    <row r="255" spans="16:19">
      <c r="P255" s="53"/>
      <c r="Q255" s="53"/>
      <c r="R255" s="53"/>
      <c r="S255" s="53"/>
    </row>
    <row r="256" spans="16:19">
      <c r="P256" s="53"/>
      <c r="Q256" s="53"/>
      <c r="R256" s="53"/>
      <c r="S256" s="53"/>
    </row>
    <row r="257" spans="16:19">
      <c r="P257" s="53"/>
      <c r="Q257" s="53"/>
      <c r="R257" s="53"/>
      <c r="S257" s="53"/>
    </row>
    <row r="258" spans="16:19">
      <c r="P258" s="53"/>
      <c r="Q258" s="53"/>
      <c r="R258" s="53"/>
      <c r="S258" s="53"/>
    </row>
    <row r="259" spans="16:19">
      <c r="P259" s="53"/>
      <c r="Q259" s="53"/>
      <c r="R259" s="53"/>
      <c r="S259" s="53"/>
    </row>
    <row r="260" spans="16:19">
      <c r="P260" s="53"/>
      <c r="Q260" s="53"/>
      <c r="R260" s="53"/>
      <c r="S260" s="53"/>
    </row>
    <row r="261" spans="16:19">
      <c r="P261" s="53"/>
      <c r="Q261" s="53"/>
      <c r="R261" s="53"/>
      <c r="S261" s="53"/>
    </row>
    <row r="262" spans="16:19">
      <c r="P262" s="53"/>
      <c r="Q262" s="53"/>
      <c r="R262" s="53"/>
      <c r="S262" s="53"/>
    </row>
    <row r="263" spans="16:19">
      <c r="P263" s="53"/>
      <c r="Q263" s="53"/>
      <c r="R263" s="53"/>
      <c r="S263" s="53"/>
    </row>
    <row r="264" spans="16:19">
      <c r="P264" s="53"/>
      <c r="Q264" s="53"/>
      <c r="R264" s="53"/>
      <c r="S264" s="53"/>
    </row>
    <row r="265" spans="16:19">
      <c r="P265" s="53"/>
      <c r="Q265" s="53"/>
      <c r="R265" s="53"/>
      <c r="S265" s="53"/>
    </row>
    <row r="266" spans="16:19">
      <c r="P266" s="53"/>
      <c r="Q266" s="53"/>
      <c r="R266" s="53"/>
      <c r="S266" s="53"/>
    </row>
    <row r="267" spans="16:19">
      <c r="P267" s="53"/>
      <c r="Q267" s="53"/>
      <c r="R267" s="53"/>
      <c r="S267" s="53"/>
    </row>
    <row r="268" spans="16:19">
      <c r="P268" s="53"/>
      <c r="Q268" s="53"/>
      <c r="R268" s="53"/>
      <c r="S268" s="53"/>
    </row>
    <row r="269" spans="16:19">
      <c r="P269" s="53"/>
      <c r="Q269" s="53"/>
      <c r="R269" s="53"/>
      <c r="S269" s="53"/>
    </row>
    <row r="270" spans="16:19">
      <c r="P270" s="53"/>
      <c r="Q270" s="53"/>
      <c r="R270" s="53"/>
      <c r="S270" s="53"/>
    </row>
    <row r="271" spans="16:19">
      <c r="P271" s="53"/>
      <c r="Q271" s="53"/>
      <c r="R271" s="53"/>
      <c r="S271" s="53"/>
    </row>
    <row r="272" spans="16:19">
      <c r="P272" s="53"/>
      <c r="Q272" s="53"/>
      <c r="R272" s="53"/>
      <c r="S272" s="53"/>
    </row>
    <row r="273" spans="16:19">
      <c r="P273" s="53"/>
      <c r="Q273" s="53"/>
      <c r="R273" s="53"/>
      <c r="S273" s="53"/>
    </row>
    <row r="274" spans="16:19">
      <c r="P274" s="53"/>
      <c r="Q274" s="53"/>
      <c r="R274" s="53"/>
      <c r="S274" s="53"/>
    </row>
    <row r="275" spans="16:19">
      <c r="P275" s="53"/>
      <c r="Q275" s="53"/>
      <c r="R275" s="53"/>
      <c r="S275" s="53"/>
    </row>
    <row r="276" spans="16:19">
      <c r="P276" s="53"/>
      <c r="Q276" s="53"/>
      <c r="R276" s="53"/>
      <c r="S276" s="53"/>
    </row>
    <row r="277" spans="16:19">
      <c r="P277" s="53"/>
      <c r="Q277" s="53"/>
      <c r="R277" s="53"/>
      <c r="S277" s="53"/>
    </row>
    <row r="278" spans="16:19">
      <c r="P278" s="53"/>
      <c r="Q278" s="53"/>
      <c r="R278" s="53"/>
      <c r="S278" s="53"/>
    </row>
    <row r="279" spans="16:19">
      <c r="P279" s="53"/>
      <c r="Q279" s="53"/>
      <c r="R279" s="53"/>
      <c r="S279" s="53"/>
    </row>
    <row r="280" spans="16:19">
      <c r="P280" s="53"/>
      <c r="Q280" s="53"/>
      <c r="R280" s="53"/>
      <c r="S280" s="53"/>
    </row>
    <row r="281" spans="16:19">
      <c r="P281" s="53"/>
      <c r="Q281" s="53"/>
      <c r="R281" s="53"/>
      <c r="S281" s="53"/>
    </row>
    <row r="282" spans="16:19">
      <c r="P282" s="53"/>
      <c r="Q282" s="53"/>
      <c r="R282" s="53"/>
      <c r="S282" s="53"/>
    </row>
    <row r="283" spans="16:19">
      <c r="P283" s="53"/>
      <c r="Q283" s="53"/>
      <c r="R283" s="53"/>
      <c r="S283" s="53"/>
    </row>
    <row r="284" spans="16:19">
      <c r="P284" s="53"/>
      <c r="Q284" s="53"/>
      <c r="R284" s="53"/>
      <c r="S284" s="53"/>
    </row>
    <row r="285" spans="16:19">
      <c r="P285" s="53"/>
      <c r="Q285" s="53"/>
      <c r="R285" s="53"/>
      <c r="S285" s="53"/>
    </row>
    <row r="286" spans="16:19">
      <c r="P286" s="53"/>
      <c r="Q286" s="53"/>
      <c r="R286" s="53"/>
      <c r="S286" s="53"/>
    </row>
    <row r="287" spans="16:19">
      <c r="P287" s="53"/>
      <c r="Q287" s="53"/>
      <c r="R287" s="53"/>
      <c r="S287" s="53"/>
    </row>
    <row r="288" spans="16:19">
      <c r="P288" s="53"/>
      <c r="Q288" s="53"/>
      <c r="R288" s="53"/>
      <c r="S288" s="53"/>
    </row>
    <row r="289" spans="16:19">
      <c r="P289" s="53"/>
      <c r="Q289" s="53"/>
      <c r="R289" s="53"/>
      <c r="S289" s="53"/>
    </row>
    <row r="290" spans="16:19">
      <c r="P290" s="53"/>
      <c r="Q290" s="53"/>
      <c r="R290" s="53"/>
      <c r="S290" s="53"/>
    </row>
    <row r="291" spans="16:19">
      <c r="P291" s="53"/>
      <c r="Q291" s="53"/>
      <c r="R291" s="53"/>
      <c r="S291" s="53"/>
    </row>
    <row r="292" spans="16:19">
      <c r="P292" s="53"/>
      <c r="Q292" s="53"/>
      <c r="R292" s="53"/>
      <c r="S292" s="53"/>
    </row>
    <row r="293" spans="16:19">
      <c r="P293" s="53"/>
      <c r="Q293" s="53"/>
      <c r="R293" s="53"/>
      <c r="S293" s="53"/>
    </row>
    <row r="294" spans="16:19">
      <c r="P294" s="53"/>
      <c r="Q294" s="53"/>
      <c r="R294" s="53"/>
      <c r="S294" s="53"/>
    </row>
    <row r="295" spans="16:19">
      <c r="P295" s="53"/>
      <c r="Q295" s="53"/>
      <c r="R295" s="53"/>
      <c r="S295" s="53"/>
    </row>
    <row r="296" spans="16:19">
      <c r="P296" s="53"/>
      <c r="Q296" s="53"/>
      <c r="R296" s="53"/>
      <c r="S296" s="53"/>
    </row>
    <row r="297" spans="16:19">
      <c r="P297" s="53"/>
      <c r="Q297" s="53"/>
      <c r="R297" s="53"/>
      <c r="S297" s="53"/>
    </row>
    <row r="298" spans="16:19">
      <c r="P298" s="53"/>
      <c r="Q298" s="53"/>
      <c r="R298" s="53"/>
      <c r="S298" s="53"/>
    </row>
    <row r="299" spans="16:19">
      <c r="P299" s="53"/>
      <c r="Q299" s="53"/>
      <c r="R299" s="53"/>
      <c r="S299" s="53"/>
    </row>
    <row r="300" spans="16:19">
      <c r="P300" s="53"/>
      <c r="Q300" s="53"/>
      <c r="R300" s="53"/>
      <c r="S300" s="53"/>
    </row>
    <row r="301" spans="16:19">
      <c r="P301" s="53"/>
      <c r="Q301" s="53"/>
      <c r="R301" s="53"/>
      <c r="S301" s="53"/>
    </row>
    <row r="302" spans="16:19">
      <c r="P302" s="53"/>
      <c r="Q302" s="53"/>
      <c r="R302" s="53"/>
      <c r="S302" s="53"/>
    </row>
    <row r="303" spans="16:19">
      <c r="P303" s="53"/>
      <c r="Q303" s="53"/>
      <c r="R303" s="53"/>
      <c r="S303" s="53"/>
    </row>
    <row r="304" spans="16:19">
      <c r="P304" s="53"/>
      <c r="Q304" s="53"/>
      <c r="R304" s="53"/>
      <c r="S304" s="53"/>
    </row>
    <row r="305" spans="16:19">
      <c r="P305" s="53"/>
      <c r="Q305" s="53"/>
      <c r="R305" s="53"/>
      <c r="S305" s="53"/>
    </row>
    <row r="306" spans="16:19">
      <c r="P306" s="53"/>
      <c r="Q306" s="53"/>
      <c r="R306" s="53"/>
      <c r="S306" s="53"/>
    </row>
    <row r="307" spans="16:19">
      <c r="P307" s="53"/>
      <c r="Q307" s="53"/>
      <c r="R307" s="53"/>
      <c r="S307" s="53"/>
    </row>
    <row r="308" spans="16:19">
      <c r="P308" s="53"/>
      <c r="Q308" s="53"/>
      <c r="R308" s="53"/>
      <c r="S308" s="53"/>
    </row>
    <row r="309" spans="16:19">
      <c r="P309" s="53"/>
      <c r="Q309" s="53"/>
      <c r="R309" s="53"/>
      <c r="S309" s="53"/>
    </row>
    <row r="310" spans="16:19">
      <c r="P310" s="53"/>
      <c r="Q310" s="53"/>
      <c r="R310" s="53"/>
      <c r="S310" s="53"/>
    </row>
    <row r="311" spans="16:19">
      <c r="P311" s="53"/>
      <c r="Q311" s="53"/>
      <c r="R311" s="53"/>
      <c r="S311" s="53"/>
    </row>
    <row r="312" spans="16:19">
      <c r="P312" s="53"/>
      <c r="Q312" s="53"/>
      <c r="R312" s="53"/>
      <c r="S312" s="53"/>
    </row>
    <row r="313" spans="16:19">
      <c r="P313" s="53"/>
      <c r="Q313" s="53"/>
      <c r="R313" s="53"/>
      <c r="S313" s="53"/>
    </row>
    <row r="314" spans="16:19">
      <c r="P314" s="53"/>
      <c r="Q314" s="53"/>
      <c r="R314" s="53"/>
      <c r="S314" s="53"/>
    </row>
    <row r="315" spans="16:19">
      <c r="P315" s="53"/>
      <c r="Q315" s="53"/>
      <c r="R315" s="53"/>
      <c r="S315" s="53"/>
    </row>
    <row r="316" spans="16:19">
      <c r="P316" s="53"/>
      <c r="Q316" s="53"/>
      <c r="R316" s="53"/>
      <c r="S316" s="53"/>
    </row>
    <row r="317" spans="16:19">
      <c r="P317" s="53"/>
      <c r="Q317" s="53"/>
      <c r="R317" s="53"/>
      <c r="S317" s="53"/>
    </row>
    <row r="318" spans="16:19">
      <c r="P318" s="53"/>
      <c r="Q318" s="53"/>
      <c r="R318" s="53"/>
      <c r="S318" s="53"/>
    </row>
    <row r="319" spans="16:19">
      <c r="P319" s="53"/>
      <c r="Q319" s="53"/>
      <c r="R319" s="53"/>
      <c r="S319" s="53"/>
    </row>
    <row r="320" spans="16:19">
      <c r="P320" s="53"/>
      <c r="Q320" s="53"/>
      <c r="R320" s="53"/>
      <c r="S320" s="53"/>
    </row>
    <row r="321" spans="16:19">
      <c r="P321" s="53"/>
      <c r="Q321" s="53"/>
      <c r="R321" s="53"/>
      <c r="S321" s="53"/>
    </row>
    <row r="322" spans="16:19">
      <c r="P322" s="53"/>
      <c r="Q322" s="53"/>
      <c r="R322" s="53"/>
      <c r="S322" s="53"/>
    </row>
    <row r="323" spans="16:19">
      <c r="P323" s="53"/>
      <c r="Q323" s="53"/>
      <c r="R323" s="53"/>
      <c r="S323" s="53"/>
    </row>
    <row r="324" spans="16:19">
      <c r="P324" s="53"/>
      <c r="Q324" s="53"/>
      <c r="R324" s="53"/>
      <c r="S324" s="53"/>
    </row>
    <row r="325" spans="16:19">
      <c r="P325" s="53"/>
      <c r="Q325" s="53"/>
      <c r="R325" s="53"/>
      <c r="S325" s="53"/>
    </row>
    <row r="326" spans="16:19">
      <c r="P326" s="53"/>
      <c r="Q326" s="53"/>
      <c r="R326" s="53"/>
      <c r="S326" s="53"/>
    </row>
    <row r="327" spans="16:19">
      <c r="P327" s="53"/>
      <c r="Q327" s="53"/>
      <c r="R327" s="53"/>
      <c r="S327" s="53"/>
    </row>
    <row r="328" spans="16:19">
      <c r="P328" s="53"/>
      <c r="Q328" s="53"/>
      <c r="R328" s="53"/>
      <c r="S328" s="53"/>
    </row>
    <row r="329" spans="16:19">
      <c r="P329" s="53"/>
      <c r="Q329" s="53"/>
      <c r="R329" s="53"/>
      <c r="S329" s="53"/>
    </row>
    <row r="330" spans="16:19">
      <c r="P330" s="53"/>
      <c r="Q330" s="53"/>
      <c r="R330" s="53"/>
      <c r="S330" s="53"/>
    </row>
    <row r="331" spans="16:19">
      <c r="P331" s="53"/>
      <c r="Q331" s="53"/>
      <c r="R331" s="53"/>
      <c r="S331" s="53"/>
    </row>
    <row r="332" spans="16:19">
      <c r="P332" s="53"/>
      <c r="Q332" s="53"/>
      <c r="R332" s="53"/>
      <c r="S332" s="53"/>
    </row>
    <row r="333" spans="16:19">
      <c r="P333" s="53"/>
      <c r="Q333" s="53"/>
      <c r="R333" s="53"/>
      <c r="S333" s="53"/>
    </row>
    <row r="334" spans="16:19">
      <c r="P334" s="53"/>
      <c r="Q334" s="53"/>
      <c r="R334" s="53"/>
      <c r="S334" s="53"/>
    </row>
    <row r="335" spans="16:19">
      <c r="P335" s="53"/>
      <c r="Q335" s="53"/>
      <c r="R335" s="53"/>
      <c r="S335" s="53"/>
    </row>
    <row r="336" spans="16:19">
      <c r="P336" s="53"/>
      <c r="Q336" s="53"/>
      <c r="R336" s="53"/>
      <c r="S336" s="53"/>
    </row>
    <row r="337" spans="16:19">
      <c r="P337" s="53"/>
      <c r="Q337" s="53"/>
      <c r="R337" s="53"/>
      <c r="S337" s="53"/>
    </row>
    <row r="338" spans="16:19">
      <c r="P338" s="53"/>
      <c r="Q338" s="53"/>
      <c r="R338" s="53"/>
      <c r="S338" s="53"/>
    </row>
    <row r="339" spans="16:19">
      <c r="P339" s="53"/>
      <c r="Q339" s="53"/>
      <c r="R339" s="53"/>
      <c r="S339" s="53"/>
    </row>
    <row r="340" spans="16:19">
      <c r="P340" s="53"/>
      <c r="Q340" s="53"/>
      <c r="R340" s="53"/>
      <c r="S340" s="53"/>
    </row>
    <row r="341" spans="16:19">
      <c r="P341" s="53"/>
      <c r="Q341" s="53"/>
      <c r="R341" s="53"/>
      <c r="S341" s="53"/>
    </row>
    <row r="342" spans="16:19">
      <c r="P342" s="53"/>
      <c r="Q342" s="53"/>
      <c r="R342" s="53"/>
      <c r="S342" s="53"/>
    </row>
    <row r="343" spans="16:19">
      <c r="P343" s="53"/>
      <c r="Q343" s="53"/>
      <c r="R343" s="53"/>
      <c r="S343" s="53"/>
    </row>
    <row r="344" spans="16:19">
      <c r="P344" s="53"/>
      <c r="Q344" s="53"/>
      <c r="R344" s="53"/>
      <c r="S344" s="53"/>
    </row>
    <row r="345" spans="16:19">
      <c r="P345" s="53"/>
      <c r="Q345" s="53"/>
      <c r="R345" s="53"/>
      <c r="S345" s="53"/>
    </row>
    <row r="346" spans="16:19">
      <c r="P346" s="53"/>
      <c r="Q346" s="53"/>
      <c r="R346" s="53"/>
      <c r="S346" s="53"/>
    </row>
    <row r="347" spans="16:19">
      <c r="P347" s="53"/>
      <c r="Q347" s="53"/>
      <c r="R347" s="53"/>
      <c r="S347" s="53"/>
    </row>
    <row r="348" spans="16:19">
      <c r="P348" s="53"/>
      <c r="Q348" s="53"/>
      <c r="R348" s="53"/>
      <c r="S348" s="53"/>
    </row>
    <row r="349" spans="16:19">
      <c r="P349" s="53"/>
      <c r="Q349" s="53"/>
      <c r="R349" s="53"/>
      <c r="S349" s="53"/>
    </row>
    <row r="350" spans="16:19">
      <c r="P350" s="53"/>
      <c r="Q350" s="53"/>
      <c r="R350" s="53"/>
      <c r="S350" s="53"/>
    </row>
    <row r="351" spans="16:19">
      <c r="P351" s="53"/>
      <c r="Q351" s="53"/>
      <c r="R351" s="53"/>
      <c r="S351" s="53"/>
    </row>
    <row r="352" spans="16:19">
      <c r="P352" s="53"/>
      <c r="Q352" s="53"/>
      <c r="R352" s="53"/>
      <c r="S352" s="53"/>
    </row>
    <row r="353" spans="16:19">
      <c r="P353" s="53"/>
      <c r="Q353" s="53"/>
      <c r="R353" s="53"/>
      <c r="S353" s="53"/>
    </row>
    <row r="354" spans="16:19">
      <c r="P354" s="53"/>
      <c r="Q354" s="53"/>
      <c r="R354" s="53"/>
      <c r="S354" s="53"/>
    </row>
    <row r="355" spans="16:19">
      <c r="P355" s="53"/>
      <c r="Q355" s="53"/>
      <c r="R355" s="53"/>
      <c r="S355" s="53"/>
    </row>
    <row r="356" spans="16:19">
      <c r="P356" s="53"/>
      <c r="Q356" s="53"/>
      <c r="R356" s="53"/>
      <c r="S356" s="53"/>
    </row>
    <row r="357" spans="16:19">
      <c r="P357" s="53"/>
      <c r="Q357" s="53"/>
      <c r="R357" s="53"/>
      <c r="S357" s="53"/>
    </row>
    <row r="358" spans="16:19">
      <c r="P358" s="53"/>
      <c r="Q358" s="53"/>
      <c r="R358" s="53"/>
      <c r="S358" s="53"/>
    </row>
    <row r="359" spans="16:19">
      <c r="P359" s="53"/>
      <c r="Q359" s="53"/>
      <c r="R359" s="53"/>
      <c r="S359" s="53"/>
    </row>
    <row r="360" spans="16:19">
      <c r="P360" s="53"/>
      <c r="Q360" s="53"/>
      <c r="R360" s="53"/>
      <c r="S360" s="53"/>
    </row>
    <row r="361" spans="16:19">
      <c r="P361" s="53"/>
      <c r="Q361" s="53"/>
      <c r="R361" s="53"/>
      <c r="S361" s="53"/>
    </row>
    <row r="362" spans="16:19">
      <c r="P362" s="53"/>
      <c r="Q362" s="53"/>
      <c r="R362" s="53"/>
      <c r="S362" s="53"/>
    </row>
    <row r="363" spans="16:19">
      <c r="P363" s="53"/>
      <c r="Q363" s="53"/>
      <c r="R363" s="53"/>
      <c r="S363" s="53"/>
    </row>
    <row r="364" spans="16:19">
      <c r="P364" s="53"/>
      <c r="Q364" s="53"/>
      <c r="R364" s="53"/>
      <c r="S364" s="53"/>
    </row>
    <row r="365" spans="16:19">
      <c r="P365" s="53"/>
      <c r="Q365" s="53"/>
      <c r="R365" s="53"/>
      <c r="S365" s="53"/>
    </row>
    <row r="366" spans="16:19">
      <c r="P366" s="53"/>
      <c r="Q366" s="53"/>
      <c r="R366" s="53"/>
      <c r="S366" s="53"/>
    </row>
    <row r="367" spans="16:19">
      <c r="P367" s="53"/>
      <c r="Q367" s="53"/>
      <c r="R367" s="53"/>
      <c r="S367" s="53"/>
    </row>
    <row r="368" spans="16:19">
      <c r="P368" s="53"/>
      <c r="Q368" s="53"/>
      <c r="R368" s="53"/>
      <c r="S368" s="53"/>
    </row>
    <row r="369" spans="16:19">
      <c r="P369" s="53"/>
      <c r="Q369" s="53"/>
      <c r="R369" s="53"/>
      <c r="S369" s="53"/>
    </row>
    <row r="370" spans="16:19">
      <c r="P370" s="53"/>
      <c r="Q370" s="53"/>
      <c r="R370" s="53"/>
      <c r="S370" s="53"/>
    </row>
    <row r="371" spans="16:19">
      <c r="P371" s="53"/>
      <c r="Q371" s="53"/>
      <c r="R371" s="53"/>
      <c r="S371" s="53"/>
    </row>
    <row r="372" spans="16:19">
      <c r="P372" s="53"/>
      <c r="Q372" s="53"/>
      <c r="R372" s="53"/>
      <c r="S372" s="53"/>
    </row>
    <row r="373" spans="16:19">
      <c r="P373" s="53"/>
      <c r="Q373" s="53"/>
      <c r="R373" s="53"/>
      <c r="S373" s="53"/>
    </row>
    <row r="374" spans="16:19">
      <c r="P374" s="53"/>
      <c r="Q374" s="53"/>
      <c r="R374" s="53"/>
      <c r="S374" s="53"/>
    </row>
    <row r="375" spans="16:19">
      <c r="P375" s="53"/>
      <c r="Q375" s="53"/>
      <c r="R375" s="53"/>
      <c r="S375" s="53"/>
    </row>
    <row r="376" spans="16:19">
      <c r="P376" s="53"/>
      <c r="Q376" s="53"/>
      <c r="R376" s="53"/>
      <c r="S376" s="53"/>
    </row>
    <row r="377" spans="16:19">
      <c r="P377" s="53"/>
      <c r="Q377" s="53"/>
      <c r="R377" s="53"/>
      <c r="S377" s="53"/>
    </row>
    <row r="378" spans="16:19">
      <c r="P378" s="53"/>
      <c r="Q378" s="53"/>
      <c r="R378" s="53"/>
      <c r="S378" s="53"/>
    </row>
    <row r="379" spans="16:19">
      <c r="P379" s="53"/>
      <c r="Q379" s="53"/>
      <c r="R379" s="53"/>
      <c r="S379" s="53"/>
    </row>
    <row r="380" spans="16:19">
      <c r="P380" s="53"/>
      <c r="Q380" s="53"/>
      <c r="R380" s="53"/>
      <c r="S380" s="53"/>
    </row>
    <row r="381" spans="16:19">
      <c r="P381" s="53"/>
      <c r="Q381" s="53"/>
      <c r="R381" s="53"/>
      <c r="S381" s="53"/>
    </row>
    <row r="382" spans="16:19">
      <c r="P382" s="53"/>
      <c r="Q382" s="53"/>
      <c r="R382" s="53"/>
      <c r="S382" s="53"/>
    </row>
    <row r="383" spans="16:19">
      <c r="P383" s="53"/>
      <c r="Q383" s="53"/>
      <c r="R383" s="53"/>
      <c r="S383" s="53"/>
    </row>
    <row r="384" spans="16:19">
      <c r="P384" s="53"/>
      <c r="Q384" s="53"/>
      <c r="R384" s="53"/>
      <c r="S384" s="53"/>
    </row>
  </sheetData>
  <sortState ref="I2:I58">
    <sortCondition ref="I1"/>
  </sortState>
  <customSheetViews>
    <customSheetView guid="{F88BE81C-8BBC-CE40-9183-746E883A9C1B}" topLeftCell="S19">
      <selection activeCell="P21" sqref="P21:Y21"/>
      <pageMargins left="0.7" right="0.7" top="0.75" bottom="0.75" header="0.3" footer="0.3"/>
    </customSheetView>
    <customSheetView guid="{9692233C-0F2E-654E-8AC6-8C4CF1DC23E8}" scale="74" showGridLines="0" hiddenRows="1" hiddenColumns="1" topLeftCell="A20">
      <selection activeCell="U25" sqref="U25:Y25"/>
      <pageMargins left="0.7" right="0.7" top="0.75" bottom="0.75" header="0.3" footer="0.3"/>
    </customSheetView>
  </customSheetViews>
  <mergeCells count="4">
    <mergeCell ref="N28:N29"/>
    <mergeCell ref="N31:N32"/>
    <mergeCell ref="N34:N35"/>
    <mergeCell ref="N37:N38"/>
  </mergeCells>
  <conditionalFormatting sqref="K5">
    <cfRule type="cellIs" dxfId="35" priority="38" operator="equal">
      <formula>$G$2</formula>
    </cfRule>
  </conditionalFormatting>
  <conditionalFormatting sqref="H6">
    <cfRule type="cellIs" dxfId="34" priority="35" operator="equal">
      <formula>$G$6</formula>
    </cfRule>
  </conditionalFormatting>
  <conditionalFormatting sqref="H2">
    <cfRule type="cellIs" dxfId="33" priority="34" operator="equal">
      <formula>$G$2</formula>
    </cfRule>
  </conditionalFormatting>
  <conditionalFormatting sqref="H3">
    <cfRule type="cellIs" dxfId="32" priority="33" operator="equal">
      <formula>$G$3</formula>
    </cfRule>
  </conditionalFormatting>
  <conditionalFormatting sqref="H4">
    <cfRule type="cellIs" dxfId="31" priority="32" operator="equal">
      <formula>$G$4</formula>
    </cfRule>
  </conditionalFormatting>
  <conditionalFormatting sqref="H5">
    <cfRule type="cellIs" dxfId="30" priority="31" operator="equal">
      <formula>$G$6</formula>
    </cfRule>
  </conditionalFormatting>
  <conditionalFormatting sqref="H7">
    <cfRule type="cellIs" dxfId="29" priority="1" operator="equal">
      <formula>$G$7</formula>
    </cfRule>
    <cfRule type="cellIs" dxfId="28" priority="30" operator="equal">
      <formula>$G$7</formula>
    </cfRule>
  </conditionalFormatting>
  <conditionalFormatting sqref="H8">
    <cfRule type="cellIs" dxfId="27" priority="2" operator="equal">
      <formula>$G$8</formula>
    </cfRule>
    <cfRule type="cellIs" dxfId="26" priority="29" operator="equal">
      <formula>$G$7</formula>
    </cfRule>
  </conditionalFormatting>
  <conditionalFormatting sqref="H9:H37">
    <cfRule type="cellIs" dxfId="25" priority="28" operator="equal">
      <formula>$G$7</formula>
    </cfRule>
  </conditionalFormatting>
  <conditionalFormatting sqref="H37">
    <cfRule type="cellIs" dxfId="24" priority="27" operator="equal">
      <formula>$G$37</formula>
    </cfRule>
  </conditionalFormatting>
  <conditionalFormatting sqref="H36">
    <cfRule type="cellIs" dxfId="23" priority="26" operator="equal">
      <formula>$G$36</formula>
    </cfRule>
  </conditionalFormatting>
  <conditionalFormatting sqref="H35">
    <cfRule type="cellIs" dxfId="22" priority="25" operator="equal">
      <formula>$G$35</formula>
    </cfRule>
  </conditionalFormatting>
  <conditionalFormatting sqref="H34">
    <cfRule type="cellIs" dxfId="21" priority="24" operator="equal">
      <formula>$G$34</formula>
    </cfRule>
  </conditionalFormatting>
  <conditionalFormatting sqref="H33">
    <cfRule type="cellIs" dxfId="20" priority="23" operator="equal">
      <formula>$G$33</formula>
    </cfRule>
  </conditionalFormatting>
  <conditionalFormatting sqref="H32">
    <cfRule type="cellIs" dxfId="19" priority="22" operator="equal">
      <formula>$G$32</formula>
    </cfRule>
  </conditionalFormatting>
  <conditionalFormatting sqref="H31">
    <cfRule type="cellIs" dxfId="18" priority="21" operator="equal">
      <formula>$G$31</formula>
    </cfRule>
  </conditionalFormatting>
  <conditionalFormatting sqref="H30">
    <cfRule type="cellIs" dxfId="17" priority="20" operator="equal">
      <formula>$G$30</formula>
    </cfRule>
  </conditionalFormatting>
  <conditionalFormatting sqref="H29">
    <cfRule type="cellIs" dxfId="16" priority="19" operator="equal">
      <formula>$G$29</formula>
    </cfRule>
  </conditionalFormatting>
  <conditionalFormatting sqref="H28">
    <cfRule type="cellIs" dxfId="15" priority="18" operator="equal">
      <formula>$G$28</formula>
    </cfRule>
  </conditionalFormatting>
  <conditionalFormatting sqref="H27">
    <cfRule type="cellIs" dxfId="14" priority="17" operator="equal">
      <formula>$G$27</formula>
    </cfRule>
  </conditionalFormatting>
  <conditionalFormatting sqref="H26">
    <cfRule type="cellIs" dxfId="13" priority="16" operator="equal">
      <formula>$G$26</formula>
    </cfRule>
  </conditionalFormatting>
  <conditionalFormatting sqref="H25">
    <cfRule type="cellIs" dxfId="12" priority="15" operator="equal">
      <formula>$G$25</formula>
    </cfRule>
  </conditionalFormatting>
  <conditionalFormatting sqref="H20:H24">
    <cfRule type="cellIs" dxfId="11" priority="14" operator="equal">
      <formula>$G$20</formula>
    </cfRule>
  </conditionalFormatting>
  <conditionalFormatting sqref="H19">
    <cfRule type="cellIs" dxfId="10" priority="13" operator="equal">
      <formula>$G$19</formula>
    </cfRule>
  </conditionalFormatting>
  <conditionalFormatting sqref="H18">
    <cfRule type="cellIs" dxfId="9" priority="12" operator="equal">
      <formula>$G$18</formula>
    </cfRule>
  </conditionalFormatting>
  <conditionalFormatting sqref="H17">
    <cfRule type="cellIs" dxfId="8" priority="11" operator="equal">
      <formula>$G$17</formula>
    </cfRule>
  </conditionalFormatting>
  <conditionalFormatting sqref="H16">
    <cfRule type="cellIs" dxfId="7" priority="10" operator="equal">
      <formula>$G$16</formula>
    </cfRule>
  </conditionalFormatting>
  <conditionalFormatting sqref="H15">
    <cfRule type="cellIs" dxfId="6" priority="9" operator="equal">
      <formula>$G$15</formula>
    </cfRule>
  </conditionalFormatting>
  <conditionalFormatting sqref="H14">
    <cfRule type="cellIs" dxfId="5" priority="8" operator="equal">
      <formula>$G$14</formula>
    </cfRule>
  </conditionalFormatting>
  <conditionalFormatting sqref="H13">
    <cfRule type="cellIs" dxfId="4" priority="7" operator="equal">
      <formula>$G$13</formula>
    </cfRule>
  </conditionalFormatting>
  <conditionalFormatting sqref="H12">
    <cfRule type="cellIs" dxfId="3" priority="6" operator="equal">
      <formula>$G$12</formula>
    </cfRule>
  </conditionalFormatting>
  <conditionalFormatting sqref="H11">
    <cfRule type="cellIs" dxfId="2" priority="5" operator="equal">
      <formula>$G$11</formula>
    </cfRule>
  </conditionalFormatting>
  <conditionalFormatting sqref="H10">
    <cfRule type="cellIs" dxfId="1" priority="4" operator="equal">
      <formula>$G$10</formula>
    </cfRule>
  </conditionalFormatting>
  <conditionalFormatting sqref="H9">
    <cfRule type="cellIs" dxfId="0" priority="3" operator="equal">
      <formula>$G$9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14</xdr:col>
                    <xdr:colOff>2095500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Down2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12700</xdr:rowOff>
                  </from>
                  <to>
                    <xdr:col>14</xdr:col>
                    <xdr:colOff>2082800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Down2">
              <controlPr defaultSize="0" autoLine="0" autoPict="0">
                <anchor moveWithCells="1">
                  <from>
                    <xdr:col>14</xdr:col>
                    <xdr:colOff>12700</xdr:colOff>
                    <xdr:row>33</xdr:row>
                    <xdr:rowOff>12700</xdr:rowOff>
                  </from>
                  <to>
                    <xdr:col>14</xdr:col>
                    <xdr:colOff>2082800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Down2">
              <controlPr defaultSize="0" autoLine="0" autoPict="0">
                <anchor moveWithCells="1">
                  <from>
                    <xdr:col>14</xdr:col>
                    <xdr:colOff>12700</xdr:colOff>
                    <xdr:row>36</xdr:row>
                    <xdr:rowOff>12700</xdr:rowOff>
                  </from>
                  <to>
                    <xdr:col>14</xdr:col>
                    <xdr:colOff>2082800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76200</xdr:rowOff>
                  </from>
                  <to>
                    <xdr:col>14</xdr:col>
                    <xdr:colOff>2184400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13</xdr:col>
                    <xdr:colOff>495300</xdr:colOff>
                    <xdr:row>39</xdr:row>
                    <xdr:rowOff>0</xdr:rowOff>
                  </from>
                  <to>
                    <xdr:col>14</xdr:col>
                    <xdr:colOff>1435100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Faculity</vt:lpstr>
      <vt:lpstr>Courses</vt:lpstr>
      <vt:lpstr>Sheet2</vt:lpstr>
      <vt:lpstr>Sheet4</vt:lpstr>
      <vt:lpstr>MasterSheet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Vidhisha Netkal</cp:lastModifiedBy>
  <dcterms:created xsi:type="dcterms:W3CDTF">2018-02-07T17:03:39Z</dcterms:created>
  <dcterms:modified xsi:type="dcterms:W3CDTF">2018-02-19T22:57:53Z</dcterms:modified>
</cp:coreProperties>
</file>